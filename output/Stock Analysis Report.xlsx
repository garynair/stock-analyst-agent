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fig" sheetId="1" state="visible" r:id="rId3"/>
    <sheet name="Analysis" sheetId="2" state="visible" r:id="rId4"/>
    <sheet name="Sources" sheetId="3" state="visible" r:id="rId5"/>
  </sheets>
  <definedNames>
    <definedName function="false" hidden="true" localSheetId="2" name="_xlnm._FilterDatabase" vbProcedure="false">Sources!$A$1:$F$141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<sst xmlns="http://schemas.openxmlformats.org/spreadsheetml/2006/main" count="1126" uniqueCount="465">
  <si>
    <t xml:space="preserve">Stock Analyst Agent — Configuration</t>
  </si>
  <si>
    <t xml:space="preserve">Parameter</t>
  </si>
  <si>
    <t xml:space="preserve">Value</t>
  </si>
  <si>
    <t xml:space="preserve">Notes</t>
  </si>
  <si>
    <t xml:space="preserve">Technical Weight</t>
  </si>
  <si>
    <t xml:space="preserve">Category weight applied to Overall Score. From framework.json.</t>
  </si>
  <si>
    <t xml:space="preserve">Fundamental Weight</t>
  </si>
  <si>
    <t xml:space="preserve">Sentiment Weight</t>
  </si>
  <si>
    <t xml:space="preserve">Buy Threshold (&gt;=)</t>
  </si>
  <si>
    <t xml:space="preserve">Overall Score at/above this value -&gt; BUY (or BUY (add) if a position is already held).</t>
  </si>
  <si>
    <t xml:space="preserve">Sell/No-Action Threshold (&lt;)</t>
  </si>
  <si>
    <t xml:space="preserve">Overall Score below this value -&gt; SELL (if held) / NO ACTION (if not held).</t>
  </si>
  <si>
    <t xml:space="preserve">Data Source Mode</t>
  </si>
  <si>
    <t xml:space="preserve">web_search</t>
  </si>
  <si>
    <t xml:space="preserve">web_search (default) or api. Set by user approval at pipeline kickoff.</t>
  </si>
  <si>
    <t xml:space="preserve">Generated At</t>
  </si>
  <si>
    <t xml:space="preserve">2026-09-06T00:00:00Z</t>
  </si>
  <si>
    <t xml:space="preserve">Framework generation timestamp (Agent 1).</t>
  </si>
  <si>
    <t xml:space="preserve">Stock Info &amp; Tracking</t>
  </si>
  <si>
    <t xml:space="preserve">TABLE 1 — Actual Values: Technical</t>
  </si>
  <si>
    <t xml:space="preserve">TABLE 1 — Actual Values: Fundamental</t>
  </si>
  <si>
    <t xml:space="preserve">TABLE 1 — Actual Values: Sentiment</t>
  </si>
  <si>
    <t xml:space="preserve">TABLE 2 — Scores /10: Technical</t>
  </si>
  <si>
    <t xml:space="preserve">TABLE 2 — Scores /10: Fundamental</t>
  </si>
  <si>
    <t xml:space="preserve">TABLE 2 — Scores /10: Sentiment</t>
  </si>
  <si>
    <t xml:space="preserve">Category / Overall / Decision</t>
  </si>
  <si>
    <t xml:space="preserve">Agent Notes</t>
  </si>
  <si>
    <t xml:space="preserve">Ticker</t>
  </si>
  <si>
    <t xml:space="preserve">Company</t>
  </si>
  <si>
    <t xml:space="preserve">State</t>
  </si>
  <si>
    <t xml:space="preserve">Review Date</t>
  </si>
  <si>
    <t xml:space="preserve">Previous Decision</t>
  </si>
  <si>
    <t xml:space="preserve">SMA Trend (50D/200D) (Value)</t>
  </si>
  <si>
    <t xml:space="preserve">RSI(14) (Value)</t>
  </si>
  <si>
    <t xml:space="preserve">MACD Signal (Value)</t>
  </si>
  <si>
    <t xml:space="preserve">Volume Trend (Value)</t>
  </si>
  <si>
    <t xml:space="preserve">52-Week Range Position (Value)</t>
  </si>
  <si>
    <t xml:space="preserve">P/E vs. Sector/Historical (Value)</t>
  </si>
  <si>
    <t xml:space="preserve">Revenue Growth YoY (Value)</t>
  </si>
  <si>
    <t xml:space="preserve">Profit Margin Trend (Value)</t>
  </si>
  <si>
    <t xml:space="preserve">Debt-to-Equity (Value)</t>
  </si>
  <si>
    <t xml:space="preserve">FCF / EPS Growth (Value)</t>
  </si>
  <si>
    <t xml:space="preserve">Analyst Consensus &amp; Price Target (Value)</t>
  </si>
  <si>
    <t xml:space="preserve">Recent News Sentiment (Value)</t>
  </si>
  <si>
    <t xml:space="preserve">Short Interest (Value)</t>
  </si>
  <si>
    <t xml:space="preserve">Insider Activity (Value)</t>
  </si>
  <si>
    <t xml:space="preserve">SMA Trend (50D/200D) (Score)</t>
  </si>
  <si>
    <t xml:space="preserve">RSI(14) (Score)</t>
  </si>
  <si>
    <t xml:space="preserve">MACD Signal (Score)</t>
  </si>
  <si>
    <t xml:space="preserve">Volume Trend (Score)</t>
  </si>
  <si>
    <t xml:space="preserve">52-Week Range Position (Score)</t>
  </si>
  <si>
    <t xml:space="preserve">P/E vs. Sector/Historical (Score)</t>
  </si>
  <si>
    <t xml:space="preserve">Revenue Growth YoY (Score)</t>
  </si>
  <si>
    <t xml:space="preserve">Profit Margin Trend (Score)</t>
  </si>
  <si>
    <t xml:space="preserve">Debt-to-Equity (Score)</t>
  </si>
  <si>
    <t xml:space="preserve">FCF / EPS Growth (Score)</t>
  </si>
  <si>
    <t xml:space="preserve">Analyst Consensus &amp; Price Target (Score)</t>
  </si>
  <si>
    <t xml:space="preserve">Recent News Sentiment (Score)</t>
  </si>
  <si>
    <t xml:space="preserve">Short Interest (Score)</t>
  </si>
  <si>
    <t xml:space="preserve">Insider Activity (Score)</t>
  </si>
  <si>
    <t xml:space="preserve">Technical Score</t>
  </si>
  <si>
    <t xml:space="preserve">Fundamental Score</t>
  </si>
  <si>
    <t xml:space="preserve">Sentiment Score</t>
  </si>
  <si>
    <t xml:space="preserve">Overall Score</t>
  </si>
  <si>
    <t xml:space="preserve">Decision</t>
  </si>
  <si>
    <t xml:space="preserve">Technical Notes</t>
  </si>
  <si>
    <t xml:space="preserve">Fundamental Notes</t>
  </si>
  <si>
    <t xml:space="preserve">Sentiment Notes</t>
  </si>
  <si>
    <t xml:space="preserve">NVDA</t>
  </si>
  <si>
    <t xml:space="preserve">Nvidia Corp</t>
  </si>
  <si>
    <t xml:space="preserve">No Position</t>
  </si>
  <si>
    <t xml:space="preserve">2026-09-06</t>
  </si>
  <si>
    <t xml:space="preserve">Price $230.36 above 50D SMA $224.03 and above 200D SMA $216.67; 50D&gt;200D (golden cross regime); 9 of 12 MAs give buy signal</t>
  </si>
  <si>
    <t xml:space="preserve">58.30 (neutral)</t>
  </si>
  <si>
    <t xml:space="preserve">MACD(12,26) = 2.22, buy signal (positive/rising)</t>
  </si>
  <si>
    <t xml:space="preserve">Volume rose ~671K shares vs prior day alongside rising price — accumulation signal</t>
  </si>
  <si>
    <t xml:space="preserve">$230.36 vs range $164.07–$236.54 = ~91.5th percentile</t>
  </si>
  <si>
    <t xml:space="preserve">Trailing P/E 29.13 vs. Semiconductors industry median 35.94 (19% below) and own 5-yr avg P/E ~61.97 (FY22-FY26: 58.55, 114.74, 50.65, 47.93, 37.98) — 53% below own history. Undervalued on both counts.</t>
  </si>
  <si>
    <t xml:space="preserve">TTM revenue $302,970M, +83.38% YoY (vs FY2025 $130,497M)</t>
  </si>
  <si>
    <t xml:space="preserve">Net margin 63.66% (TTM) vs 55.85% FY2025, expanding +7.81 pts; operating margin 65.21% vs 62.42%</t>
  </si>
  <si>
    <t xml:space="preserve">0.17x — conservative leverage, well below the semiconductor peer norm</t>
  </si>
  <si>
    <t xml:space="preserve">TTM FCF $127,006M (+76.34% YoY); Diluted EPS $7.91, +125.28% YoY</t>
  </si>
  <si>
    <t xml:space="preserve">Consensus: Strong Buy (60 analysts polled). Avg price target $325.99 vs current price $230.36 = +41.5% implied upside. Range: $180-$515.</t>
  </si>
  <si>
    <t xml:space="preserve">Predominantly positive. (1) Q2 FY2027 earnings (Aug 26) beat estimates; CEO Jensen Huang forecast ~70% revenue growth for FY2028, far above analyst estimates. (2) Nvidia secured approval to export H200 AI chips to China, a positive regulatory/commercial development, though shares were volatile ('slips despite China push') on profit-taking around the news. (3) Continued strong AI-chip demand narrative reiterated post-earnings.</t>
  </si>
  <si>
    <t xml:space="preserve">Short interest 1.23% of float (285.96M shares); 1.18% of shares outstanding.</t>
  </si>
  <si>
    <t xml:space="preserve">Net insider selling over trailing months: 12 insiders sold vs. 0 bought (~$1.54B in selling, trailing 12mo, with concentrated recent sales continuing through Aug/Sept 2026 e.g. Director Mark Stevens' $128.9M sale on 8/31/2026). No offsetting buys.</t>
  </si>
  <si>
    <t xml:space="preserve">Broadly bullish technical picture: price near 52-week highs, above both key SMAs with 50D&gt;200D, MACD and volume confirming an uptrend. RSI is neutral, not yet overbought.</t>
  </si>
  <si>
    <t xml:space="preserve">All metrics strongly bullish; AI datacenter demand driving growth and margin expansion with minimal leverage and huge FCF. Watch export-control/China risk and rising custom-ASIC competition as forward risks not captured in trailing data.</t>
  </si>
  <si>
    <t xml:space="preserve">Very bullish analyst/short-interest/news picture offset by persistent, large-scale insider selling (common at NVDA given scheduled 10b5-1 plans by Huang, Kress, Puri, Stevens) — treat insider selling as routine liquidity/diversification rather than a bearish signal on fundamentals.</t>
  </si>
  <si>
    <t xml:space="preserve">AAPL</t>
  </si>
  <si>
    <t xml:space="preserve">Apple Inc</t>
  </si>
  <si>
    <t xml:space="preserve">Price $319.97 below 50D SMA $321.06 (sell) but above 200D SMA $314.37 (buy); mixed — short-term pullback within longer uptrend</t>
  </si>
  <si>
    <t xml:space="preserve">41.96 (neutral, leaning weak)</t>
  </si>
  <si>
    <t xml:space="preserve">MACD(12,26) = -0.21, mild sell signal (near zero); note: StockInvest.us 3-month MACD shows a buy signal, so cross-source signals diverge</t>
  </si>
  <si>
    <t xml:space="preserve">Volume rose ~2M shares vs prior day while price declined — mild distribution signal</t>
  </si>
  <si>
    <t xml:space="preserve">$319.97 vs range $225.95–$344.57 = ~79.3rd percentile</t>
  </si>
  <si>
    <t xml:space="preserve">Trailing P/E 36.71 vs. Hardware industry median 25.23 (35% above) and own 5-yr avg P/E ~29.65 (FY21-25: 25.65,24.22,27.60,36.95,33.85) — ~24% above own history. Overvalued both ways.</t>
  </si>
  <si>
    <t xml:space="preserve">TTM revenue $466,823M, +14.24% YoY</t>
  </si>
  <si>
    <t xml:space="preserve">Net margin 27.62% (TTM) vs 26.91% FY2025, +0.71 pt — roughly flat</t>
  </si>
  <si>
    <t xml:space="preserve">0.78x — moderate leverage (down from 1.52x in FY2025)</t>
  </si>
  <si>
    <t xml:space="preserve">TTM FCF $136,683M (+42.11% YoY, reversing FY2025's -9.23%); Diluted EPS $8.72, +32.61% YoY</t>
  </si>
  <si>
    <t xml:space="preserve">Consensus: Buy (44 analysts). Avg price target $324.53 vs current price $319.97 = +1.4% upside (within ±10% band despite 'Buy' label).</t>
  </si>
  <si>
    <t xml:space="preserve">Mixed. (1) Apple officially confirmed a Sept 9, 2026 launch event for a foldable 'iPhone Ultra' and iPhone 18 Pro — the first product event under new CEO John Ternus; anticipation is broadly positive with prediction markets assigning ~81% odds of a 2026 foldable launch. (2) BofA warned foldable displays carry higher component costs that could pressure margins, while Morgan Stanley (Moderate Buy) is more bullish, citing 12% YoY iPhone production growth. (3) Q3 FY2026 earnings (late July) beat estimates but shares fell after-hours on cautious guidance — an older but still relevant data point.</t>
  </si>
  <si>
    <t xml:space="preserve">Short interest 0.80% of float (116.33M shares); 2.19 days to cover.</t>
  </si>
  <si>
    <t xml:space="preserve">Net insider selling: 7 insiders sold vs. 0 bought (~$85.4M trailing 12mo). CEO Tim Cook sold 64,949 shares (~$16.5M) on 4/2/2026; SVP Jennifer Newstead sold ~$1.79M across Aug-Sept 2026. No offsetting purchases.</t>
  </si>
  <si>
    <t xml:space="preserve">Mixed-to-slightly-bullish. Price sits just below its 50D SMA after a pullback but remains above its 200D SMA and near the upper part of its 52-week range. Note: stockanalysis.com returned a stale cached quote ($234.93, dated Nov 2024) for this ticker during research — discarded in favor of investing.com/marketbeat.com, which agree at $319.97.</t>
  </si>
  <si>
    <t xml:space="preserve">Valuation is the weak spot — trades rich vs. both sector and own history. Underlying fundamentals (margin stability, deleveraging, strong FCF/EPS growth) are solid; revenue growth just below the 15% bullish threshold.</t>
  </si>
  <si>
    <t xml:space="preserve">Note: Tim Cook transitioned from CEO to Executive Chairman in April 2026, with John Ternus now CEO — outside the 2-4 week news window but relevant context for the Sept 9 product event being his first major launch.</t>
  </si>
  <si>
    <t xml:space="preserve">GOOGL</t>
  </si>
  <si>
    <t xml:space="preserve">Alphabet Inc Class A</t>
  </si>
  <si>
    <t xml:space="preserve">Price $338.46 below 50D SMA $340.02 and below 200D SMA $347.20; 50D&lt;200D (death-cross-style order) — bearish</t>
  </si>
  <si>
    <t xml:space="preserve">45.53 (neutral)</t>
  </si>
  <si>
    <t xml:space="preserve">MACD(12,26) = -0.40, sell signal</t>
  </si>
  <si>
    <t xml:space="preserve">Volume rose ~2M shares vs prior day while price fell — distribution signal</t>
  </si>
  <si>
    <t xml:space="preserve">$338.46 vs range $226.11–$408.61 = ~61.6th percentile</t>
  </si>
  <si>
    <t xml:space="preserve">Trailing P/E ~17.0 vs. Interactive Media industry median 15.125 (12.4% above, within threshold) but ~29% below own 5-yr avg P/E ~24.0 (FY21-25: 25.28,19.09,23.79,23.21,28.61). Mixed signal — near sector, cheap vs. own history.</t>
  </si>
  <si>
    <t xml:space="preserve">TTM revenue $445,866M, +20.05% YoY (FY2025 was +15.09%)</t>
  </si>
  <si>
    <t xml:space="preserve">Operating margin 33.11% (TTM) vs 32.03% FY2025, +1.08 pt (modest expansion). Net margin jumped to 54.75% from 32.81% (+21.9 pts) — this swing is unusually large and likely reflects a one-time gain (e.g., investment/equity revaluation) rather than core operating improvement; operating margin is the more reliable read.</t>
  </si>
  <si>
    <t xml:space="preserve">0.19x — conservative leverage</t>
  </si>
  <si>
    <t xml:space="preserve">TTM FCF $53,273M, -20.16% YoY (down from FY2025 $73,266M) due to capex surging to $132.4B; EPS +112.48% YoY (partly reflects the same one-time item noted above)</t>
  </si>
  <si>
    <t xml:space="preserve">Consensus: Strong Buy (63 analysts). Avg price target $428.07 vs current price $338.46 = +26.5% upside.</t>
  </si>
  <si>
    <t xml:space="preserve">Predominantly positive. (1) A favorable antitrust ruling described by commentary as 'a big win for Alphabet investors.' (2) Gemini 3.8 model launch cited as lifting AI-momentum sentiment. (3) Stock opened September with gains after its longest monthly losing streak in over a decade, reflecting a sentiment turnaround.</t>
  </si>
  <si>
    <t xml:space="preserve">Short interest 0.67% of float (72.71M shares); 2.35 days to cover.</t>
  </si>
  <si>
    <t xml:space="preserve">Net insider selling: 8 insiders sold vs. 0 bought (~$209.59M trailing 12mo). CEO Sundar Pichai sold consistently June-Aug 2026 at $349-373/share; other directors/executives also sold. Described as portfolio rebalancing rather than a loss-of-confidence signal.</t>
  </si>
  <si>
    <t xml:space="preserve">Bearish-leaning near term: price below both SMAs with the 50D under the 200D, negative MACD, and distribution-style volume. Overall investing.com daily rating was 'Strong Sell'. 52-week position is mid-range.</t>
  </si>
  <si>
    <t xml:space="preserve">Net margin and EPS growth figures are likely inflated by a one-time non-operating item within the TTM window; operating margin and revenue trends (both solidly positive) are more representative. AI-infrastructure capex is pressuring FCF despite strong top-line growth.</t>
  </si>
  <si>
    <t xml:space="preserve">Strongly bullish across analyst, news, and short-interest metrics; insider selling is the lone bearish-scoring metric but is broadly attributed to routine executive diversification rather than negative conviction.</t>
  </si>
  <si>
    <t xml:space="preserve">MSFT</t>
  </si>
  <si>
    <t xml:space="preserve">Microsoft Corp</t>
  </si>
  <si>
    <t xml:space="preserve">Price $499.70 below 50D SMA $505.31 (sell) but above 200D SMA $487.87 (buy); 50D&gt;200D still — mixed</t>
  </si>
  <si>
    <t xml:space="preserve">42.69 (neutral, leaning weak)</t>
  </si>
  <si>
    <t xml:space="preserve">MACD(12,26) = -1.41, sell signal</t>
  </si>
  <si>
    <t xml:space="preserve">Volume fell ~6M shares vs prior day while price also fell — light volume on the down day, roughly neutral</t>
  </si>
  <si>
    <t xml:space="preserve">$499.70 vs range $349.20–$553.72 = ~73.6th percentile</t>
  </si>
  <si>
    <t xml:space="preserve">Trailing P/E ~27.84 vs. Software industry median 20.8 (35% above) but ~11% below own 5-yr avg P/E ~31.22 (FY22-26: 26.41,34.99,37.69,36.31,20.72). Mixed signal, not extreme either way.</t>
  </si>
  <si>
    <t xml:space="preserve">TTM revenue $331,839M, +17.79% YoY</t>
  </si>
  <si>
    <t xml:space="preserve">Net margin 40.30% (TTM) vs 36.15% FY2025, +4.15 pts expanding; operating margin 46.78% vs 45.62%</t>
  </si>
  <si>
    <t xml:space="preserve">0.29x — conservative leverage</t>
  </si>
  <si>
    <t xml:space="preserve">FY2026 FCF $66,987M, -6.46% YoY (from $71,611M) despite 34.35% operating cash flow growth, because capex nearly doubled to $115,948M; EPS +31.60% YoY</t>
  </si>
  <si>
    <t xml:space="preserve">Consensus: Strong Buy (55 analysts). Avg price target $571.38 vs current price $499.70 = +14.3% upside.</t>
  </si>
  <si>
    <t xml:space="preserve">Mixed. (1) Microsoft disclosed it will separately report Azure revenue starting FY2027 (Sept 4), revealing $29.4B quarterly / $101.9B FY2026 Azure revenue — a positive transparency move. (2) Stifel raised its price target to $530 citing improving Copilot adoption/AI momentum (Sept 4). (3) Seattle Times and Newsday filed copyright-infringement lawsuits against OpenAI and Microsoft over AI training data (Sept 4-5) — an adverse legal/regulatory headline.</t>
  </si>
  <si>
    <t xml:space="preserve">Short interest 0.92% of float (68.54M shares); 1.85 days to cover.</t>
  </si>
  <si>
    <t xml:space="preserve">Net insider selling: 6 sellers vs. 1 buyer (~$93.81M sold vs ~$1.99M bought, trailing 12mo). CEO Satya Nadella sold 86,525 shares (~$43.4M) on 9/1/2026; EVPs Takeshi Numoto and Judson Althoff also sold. One small director purchase (~$1.99M) in Feb 2026.</t>
  </si>
  <si>
    <t xml:space="preserve">Mixed picture: short-term weakness (below 50D SMA, negative MACD, RSI under 50) inside a still-intact longer-term uptrend (above 200D SMA, upper-middle of 52-week range).</t>
  </si>
  <si>
    <t xml:space="preserve">Strong growth, margin expansion and low leverage, but FCF is declining despite record earnings — driven entirely by an unprecedented AI-datacenter capex ramp, a genuine (not one-off) reinvestment trend worth monitoring.</t>
  </si>
  <si>
    <t xml:space="preserve">AI/Copilot momentum and improved Azure disclosure are offset by fresh copyright litigation naming Microsoft and OpenAI, and by continued heavy insider selling led by the CEO.</t>
  </si>
  <si>
    <t xml:space="preserve">AMZN</t>
  </si>
  <si>
    <t xml:space="preserve">Amazon.com Inc</t>
  </si>
  <si>
    <t xml:space="preserve">Price $258.51 above 50D SMA $258.16 (buy, marginal) but below 200D SMA $262.40 (sell); mixed</t>
  </si>
  <si>
    <t xml:space="preserve">54.60 (neutral)</t>
  </si>
  <si>
    <t xml:space="preserve">MACD(12,26) = -0.11, weak sell signal, near zero</t>
  </si>
  <si>
    <t xml:space="preserve">Volume rose ~4M shares vs prior day while price fell — distribution signal</t>
  </si>
  <si>
    <t xml:space="preserve">$258.51 vs range $196.00–$287.20 = ~68.5th percentile</t>
  </si>
  <si>
    <t xml:space="preserve">Trailing P/E 20.79 vs. Retail-Cyclical industry median 16.37 (27% above) but ~52% below own 5-yr avg P/E ~43.25 (FY21,23,24,25: 50.68,51.61,38.94,31.77; FY22 N/A). Mixed signal.</t>
  </si>
  <si>
    <t xml:space="preserve">TTM revenue $775,680M, +15.77% YoY</t>
  </si>
  <si>
    <t xml:space="preserve">Net margin 17.44% (TTM) vs 10.83% FY2025, +6.61 pts expanding strongly</t>
  </si>
  <si>
    <t xml:space="preserve">0.46x — conservative leverage, improved from prior years</t>
  </si>
  <si>
    <t xml:space="preserve">TTM FCF turned negative at -$11,625M (from +$7,695M in FY2025, -76.6%+ swing) as capex hit $173,028M; EPS +89.66% YoY despite the FCF drop</t>
  </si>
  <si>
    <t xml:space="preserve">Consensus: Strong Buy (61 analysts). Avg price target $328.17 vs current price $258.51 = +27.0% upside.</t>
  </si>
  <si>
    <t xml:space="preserve">Predominantly negative in the trailing weeks despite a strong Q2 print. (1) The FTC and 22 states sued Amazon's advertising division, alleging it overcharged ~1.2 million advertisers by ~$20B through undisclosed pricing mechanisms — a significant legal/regulatory negative reported as of Sept 2 2026. (2) Analysts flagged capex concerns: Amazon expanded its 2026 capex budget to $220B (projected to reach $370B by 2028), with one analyst estimating ~-$50B free cash flow in both 2027 and 2028. (3) Stock fell ~11% from its August peak amid these concerns, even though Q2 2026 earnings (late July) had beaten estimates with AWS growth accelerating to 37% and revenue topping $200B for the first time.</t>
  </si>
  <si>
    <t xml:space="preserve">Short interest 0.97% of float (95.30M shares); 0.88% of shares outstanding.</t>
  </si>
  <si>
    <t xml:space="preserve">Net insider selling: 9 insiders sold vs. 0 bought (~$103.95M trailing 12mo), including CEO Andy Jassy (~$5.2M in August), AWS CEO Matthew Garman (~$3.8M in August), CFO Brian Olsavsky, and others. Characterized as scheduled diversification.</t>
  </si>
  <si>
    <t xml:space="preserve">Largely neutral/mixed: price is essentially at its 50D SMA but below its 200D SMA, RSI and 52-week position both mid-range, MACD flat-to-slightly-negative, and a recent down-day volume pickup is a mild caution flag.</t>
  </si>
  <si>
    <t xml:space="preserve">Margins and EPS growth are excellent, and leverage is conservative, but AWS/AI infrastructure capex has pushed FCF negative — a genuine reinvestment story, not a one-time charge. Valuation looks fair vs. own history but rich vs. peers.</t>
  </si>
  <si>
    <t xml:space="preserve">Note: an earlier ~30,000 corporate-job-cut story circulating in searches is dated October 2025 and was excluded as stale; the FTC advertising lawsuit (Sept 2 2026) is the dominant recent, verified negative catalyst.</t>
  </si>
  <si>
    <t xml:space="preserve">TSM</t>
  </si>
  <si>
    <t xml:space="preserve">Taiwan Semiconductor Mfg (ADR)</t>
  </si>
  <si>
    <t xml:space="preserve">Price $428.91 above 50D SMA $419.10 and above 200D SMA $416.15; 50D&gt;200D (golden cross regime); 12 of 12 MAs buy</t>
  </si>
  <si>
    <t xml:space="preserve">70.87 (slightly overbought, just above 70)</t>
  </si>
  <si>
    <t xml:space="preserve">MACD(12,26) = 2.98, buy signal</t>
  </si>
  <si>
    <t xml:space="preserve">Volume rose ~4M shares vs prior day alongside a +2.85% price gain — accumulation signal</t>
  </si>
  <si>
    <t xml:space="preserve">$428.91 vs range $230.30–$479.00 = ~79.9th percentile</t>
  </si>
  <si>
    <t xml:space="preserve">Trailing P/E 28.35 vs. Semiconductors industry median 35.54 (~20% below, bullish) but ~36% ABOVE own 5-yr avg P/E ~20.89 (FY21-25: 26.92,11.71,18.05,24.07,23.68). Mixed signal.</t>
  </si>
  <si>
    <t xml:space="preserve">TTM revenue NT$4,440,492M, +30.56% YoY</t>
  </si>
  <si>
    <t xml:space="preserve">Net margin 49.92% (TTM) vs 44.57% FY2025, +5.35 pts expanding</t>
  </si>
  <si>
    <t xml:space="preserve">0.17x — conservative leverage</t>
  </si>
  <si>
    <t xml:space="preserve">TTM FCF NT$1,143,556M, +15.21% to +21.95% YoY (source shows both figures across periods); EPS NT$85.49, +53.43% YoY</t>
  </si>
  <si>
    <t xml:space="preserve">Consensus: Strong Buy (19 analysts). Avg price target $554.45 vs current price $428.91 = +29.3% upside.</t>
  </si>
  <si>
    <t xml:space="preserve">Predominantly positive. (1) TSMC's August 2026 monthly sales surged 45% year-over-year on buoyant AI chip demand. (2) The company raised its capex and revenue forecasts for 2026 citing growing AI chip demand. (3) Coverage notes chip demand from Nvidia, AMD, and Apple remains a key growth driver, though some commentary questions whether the current valuation already prices in this strength.</t>
  </si>
  <si>
    <t xml:space="preserve">Short interest equals 0.62% of shares outstanding (30.16M shares); short % of float not disclosed by this source ('n/a'), so shares-outstanding basis used as the best available proxy — both point to very low bearish positioning.</t>
  </si>
  <si>
    <t xml:space="preserve">Net insider BUYING: over 30 insider purchases since early July 2026 (~$800K aggregate), broad-based across the CEO, CFO, COO, multiple SVPs/VPs, and several directors, accelerating after Q2 earnings and a post-earnings stock pullback (~20% decline from highs). Some selling exists but is described as concentrated among a small group of long-tenured employees taking profits, not a broad signal.</t>
  </si>
  <si>
    <t xml:space="preserve">Strongly bullish technical setup across nearly every measure (golden cross regime, rising volume on an up day, near 52-week highs) with the one caution being an RSI just over the 70 overbought threshold after a sharp one-day rally.</t>
  </si>
  <si>
    <t xml:space="preserve">Broad-based strength across growth, margins, leverage, and cash generation. Valuation re-rated up vs. its own recent history (AI/foundry demand), though still cheap vs. sector peers. Figures reported in TWD (millions/per-share).</t>
  </si>
  <si>
    <t xml:space="preserve">TSM is the strongest name across all four metrics in this batch — bullish analyst consensus, strong recent operating news, low short interest, and a notable broad-based insider buying wave following a post-earnings pullback.</t>
  </si>
  <si>
    <t xml:space="preserve">SPCX</t>
  </si>
  <si>
    <t xml:space="preserve">Space Exploration Technologies Corp Class A</t>
  </si>
  <si>
    <t xml:space="preserve">Price $147.95 above 50D SMA $143.69 and above 200D SMA $132.80; 50D&gt;200D (golden cross regime), though shortest-term MAs (5D/10D) show sell after a recent dip</t>
  </si>
  <si>
    <t xml:space="preserve">56.66 (neutral)</t>
  </si>
  <si>
    <t xml:space="preserve">MACD(12,26) = 1.58, buy signal</t>
  </si>
  <si>
    <t xml:space="preserve">Volume fell alongside a small price decline — described by source as a 'good sign' (volume following price down), roughly neutral</t>
  </si>
  <si>
    <t xml:space="preserve">$147.95 vs range $104.83–$225.64 = ~35.7th percentile</t>
  </si>
  <si>
    <t xml:space="preserve">P/E not meaningful (net loss). Substituting P/S: Market cap $2.01T / TTM revenue $23.04B ≈ 87x P/S — no comparable sector median found for this hybrid space/telecom/AI business, and no multi-year own history exists (recent IPO). Extremely rich multiple by any conventional standard.</t>
  </si>
  <si>
    <t xml:space="preserve">TTM revenue $23.04B, +121.9% YoY; Q2 2026 revenue $6.93-7.8B (sources vary), roughly doubled YoY</t>
  </si>
  <si>
    <t xml:space="preserve">TTM net loss -$8.89B on $23.04B revenue (~-38.6% net margin); Q2 2026 alone showed a narrower net loss of $541M on quarterly revenue (~-7% margin for that quarter), suggesting improving quarterly profitability, but a clean YoY point-change in margin could not be confirmed from available sources — pre-IPO reporting comparability is limited.</t>
  </si>
  <si>
    <t xml:space="preserve">0.31x (Total debt $39,708M / Shareholders' equity $127,224M) — conservative leverage</t>
  </si>
  <si>
    <t xml:space="preserve">TTM FCF -$32,515M, worsening from FY2025's -$14,121M as capex more than doubled to $42,415M; EPS -$2.27 TTM, no reliable prior-year comparable EPS available (recent IPO) to compute YoY growth</t>
  </si>
  <si>
    <t xml:space="preserve">Consensus: Buy (35 analysts, sourced by StockAnalysis.com/S&amp;P Global). Avg price target $222.32 vs current price $147.95 = +50.3% upside. Range $117-$450 (wide dispersion typical of a recent IPO with limited history).</t>
  </si>
  <si>
    <t xml:space="preserve">Predominantly positive, though the earnings print is ~5 weeks old (slightly outside the strict 2-4 week window but the most substantive news available for this new listing). (1) SpaceX's first-ever public Q2 2026 earnings (Aug 4) showed revenue surging 92% YoY to $7.8B, beating Wall Street estimates by nearly $1B. (2) Growth drivers cited: Starlink subscriber growth (~12M subs) and new compute-capacity deals with Anthropic and Google. (3) Some initial after-hours stock softness was reported despite the beat, and SpaceX joined the Nasdaq-100 in July 2026, which caused a two-day post-inclusion price slide (a technical/mechanical effect, not a fundamental negative).</t>
  </si>
  <si>
    <t xml:space="preserve">Short interest 12.06% of float (184.39M shares), though only 1.36% of total shares outstanding (float is a small slice of the company given SpaceX's large insider/founder ownership). Elevated float-based short interest for a recent IPO can reflect difficulty borrowing/hedging shares around lockup unlocks rather than pure bearish conviction, and could pose squeeze risk if sentiment turns positive.</t>
  </si>
  <si>
    <t xml:space="preserve">Net selling context: early investors and pre-IPO institutional holders are selling into a series of staggered lockup expirations running July-November 2026, largely attributed by commentary to portfolio-concentration management rather than negative views on the company. This is partly offset by mechanical index-fund buying as SpaceX's weight in the Nasdaq-100/Russell 1000/Morningstar indexes increases (~3.4x) with a mid-September rebalance; it is unclear whether this fully offsets sell pressure.</t>
  </si>
  <si>
    <t xml:space="preserve">As a recently-public, more volatile name, data coverage is thinner than the mega-caps but investing.com/stockanalysis.com/stockinvest.us all had usable current data. Overall picture is bullish on trend structure (price above both key SMAs, 50D&gt;200D) with neutral momentum/volume readings and price sitting well off its 52-week high ($225.64) after a pullback.</t>
  </si>
  <si>
    <t xml:space="preserve">IPO'd June 12, 2026 — only ~3 months of public trading and one reported quarter (Q2 2026) as of this research date, so historical/YoY comparisons are inherently limited and some TTM figures blend pre- and post-IPO periods. Company remains unprofitable and deeply FCF-negative due to massive capex (Starlink, AI infrastructure) but revenue growth is extremely strong and leverage is conservative. Valuation (P/S ~87x) is priced for exceptional future growth, particularly in the AI segment.</t>
  </si>
  <si>
    <t xml:space="preserve">SPCX (SpaceX) went public and began Nasdaq trading in 2026, so analyst coverage/history is comparatively short and price-target dispersion is wide. Short interest and insider-selling readings both likely reflect lockup-expiration mechanics specific to a new IPO rather than pure bearish sentiment — flagged as squeeze/technical risk rather than a fundamental negative signal.</t>
  </si>
  <si>
    <t xml:space="preserve">AVGO</t>
  </si>
  <si>
    <t xml:space="preserve">Broadcom Inc</t>
  </si>
  <si>
    <t xml:space="preserve">Price $357.90 below 50D SMA $364.45 and below 200D SMA $385.43; 50D&lt;200D (death cross regime) — bearish</t>
  </si>
  <si>
    <t xml:space="preserve">47.16 (neutral)</t>
  </si>
  <si>
    <t xml:space="preserve">MACD(12,26) = -2.10, sell signal</t>
  </si>
  <si>
    <t xml:space="preserve">Volume fell vs prior day despite a price gain — bearish divergence (weak conviction on the up move)</t>
  </si>
  <si>
    <t xml:space="preserve">$357.90 vs range $289.96–$495.00 = ~33.1st percentile</t>
  </si>
  <si>
    <t xml:space="preserve">Trailing P/E 45.68 vs. Semiconductors industry median 35.54 (29% above) but ~20% below own 5-yr avg P/E ~56.99 (FY21-25: 34.00,17.07,24.57,133.83,75.48 — note FY2024's 133.83 was likely distorted by VMware-acquisition accounting/one-time items, inflating this average). Mixed/uncertain signal given the historical distortion.</t>
  </si>
  <si>
    <t xml:space="preserve">TTM revenue $89,104M, +48.69% YoY</t>
  </si>
  <si>
    <t xml:space="preserve">Net margin 42.94% (TTM) vs 36.20% FY2025, +6.74 pts expanding; operating margin 48.59% vs 41.27%. Note: gross margin actually contracted slightly (75.52% vs 77.33%), a mix-shift caveat worth flagging even though bottom-line margins expanded.</t>
  </si>
  <si>
    <t xml:space="preserve">0.60x — moderate leverage</t>
  </si>
  <si>
    <t xml:space="preserve">TTM FCF $39,403M, +58.05% YoY (from $26,914M in FY2025); Diluted EPS $7.83, +100.03% YoY</t>
  </si>
  <si>
    <t xml:space="preserve">Consensus: Strong Buy (49 analysts). Avg price target $533.41 vs current price $357.90 = +49.0% upside.</t>
  </si>
  <si>
    <t xml:space="preserve">Mixed. Q3 FY2026 earnings (Sept 2) showed revenue of $29.6B (+86% YoY) and AI semiconductor revenue up 221% YoY to $16.7B — strong factual results — but Q4 guidance of $34.8B came in slightly below the $35.03B consensus. Wall Street reaction was cautious: Truist called results 'good, but not stellar' and trimmed its price target to $520 from $550 (still Buy); RBC maintained a Sector Perform citing supply constraints and a high bar for FY2027-28.</t>
  </si>
  <si>
    <t xml:space="preserve">Short interest 1.20% of float (56.21M shares); 1.18% of shares outstanding.</t>
  </si>
  <si>
    <t xml:space="preserve">Net insider selling: 8 sellers vs. 1 buyer over the trailing filing window (~$639.73M sold vs ~$1.93M bought). Notable sales include Director Henry Samueli (~$128.3M) and CEO Hock Tan (~$24.3M); Director Harry You was the primary/limited buyer (~$1.9M). Note: several of the largest cited transactions date to Dec 2025-Jan 2026, so the '3-month' window in this source may extend slightly further back than usual; still, the clear directional pattern is net selling.</t>
  </si>
  <si>
    <t xml:space="preserve">Bearish technical setup: price below both key SMAs with the 50D under the 200D, negative MACD, and volume not confirming the day's price gain. Investing.com's overall daily rating was 'Strong Sell' despite a post-earnings pullback from highs.</t>
  </si>
  <si>
    <t xml:space="preserve">AI/custom-silicon and software (VMware) demand driving very strong growth, margins, and cash generation. Valuation looks elevated vs. sector but the 'own 5-yr average' comparison is distorted by an anomalous FY2024 P/E spike tied to VMware acquisition accounting, so that leg of the P/E rubric is less reliable here.</t>
  </si>
  <si>
    <t xml:space="preserve">Broadcom's AI-revenue growth remains exceptional in absolute terms, but a guidance print that came in just under consensus produced a cautious ('not stellar') analyst reaction rather than a clear bullish or bearish one.</t>
  </si>
  <si>
    <t xml:space="preserve">META</t>
  </si>
  <si>
    <t xml:space="preserve">Meta Platforms Inc</t>
  </si>
  <si>
    <t xml:space="preserve">Price $616.77 above 50D SMA $588.21 and above 200D SMA $577.83; 50D&gt;200D (golden cross regime); 10 of 12 MAs buy</t>
  </si>
  <si>
    <t xml:space="preserve">67 (neutral, upper end)</t>
  </si>
  <si>
    <t xml:space="preserve">MACD(12,26) = 7.35, buy signal</t>
  </si>
  <si>
    <t xml:space="preserve">Volume fell ~4M shares vs prior day despite a price gain — mild bearish divergence (weak conviction)</t>
  </si>
  <si>
    <t xml:space="preserve">$616.77 vs range $520.26–$790.80 = ~35.7th percentile</t>
  </si>
  <si>
    <t xml:space="preserve">Trailing P/E ~23.24 vs. Interactive Media industry median 15.125 (53.5% above) but roughly in line with own 5-yr avg P/E ~22.37 (FY21-25: 23.77,13.60,23.28,23.70,27.52) and 16% below its 10-yr median of 27.77. Above sector by &gt;15% but not above own history — mixed, not both.</t>
  </si>
  <si>
    <t xml:space="preserve">TTM revenue $228,247M, +27.65% YoY</t>
  </si>
  <si>
    <t xml:space="preserve">Net margin 29.84% (TTM) vs 30.08% FY2025, -0.24 pt — roughly flat. Operating margin contracted more notably, -3.36 pts (38.08% vs 41.44%), reflecting rising AI infrastructure depreciation/opex — flagged as a caveat even though net margin is within the 'flat' band.</t>
  </si>
  <si>
    <t xml:space="preserve">0.43x — conservative leverage</t>
  </si>
  <si>
    <t xml:space="preserve">TTM FCF $40,976M, -18.27% YoY (from $46,109M); Diluted EPS $26.54, -3.75% YoY (negative)</t>
  </si>
  <si>
    <t xml:space="preserve">Consensus: Strong Buy (62 analysts). Avg price target $754.77 vs current price $616.77 = +22.4% upside.</t>
  </si>
  <si>
    <t xml:space="preserve">Mixed-to-positive recently. (1) Sept 1 2026: Meta announced 'Muse Voice Transcribe,' a real-time audio/transcription AI model supporting 70+ languages and 20+ speakers. (2) Same day, Meta resolved a major legal matter valued at $17-18B, removing what was described as 'a major legal overhang'; shares rose ~1.1% on the combined news. (3) Offsetting this, Meta continues to fight an FTC appeal seeking to revive antitrust monopolization charges (as of Aug 24 2026) after a district court had earlier rejected the FTC's case — an ongoing legal risk rather than a new negative. Q2 2026 earnings (July 29, slightly outside the window) had also triggered a stock drop on disappointing guidance and shrinking free cash flow tied to AI capex.</t>
  </si>
  <si>
    <t xml:space="preserve">Short interest 1.27% of float (28.05M shares out of a 2.20B float).</t>
  </si>
  <si>
    <t xml:space="preserve">Net insider selling: 7 insiders sold vs. 0 bought (~$175.58M trailing 12mo). COO Javier Olivan sold consistently through the quarter at $600-680/share; CTO Andrew Bosworth sold ~$4.4M on 8/18/2026; CFO Susan Li also sold in Feb 2026.</t>
  </si>
  <si>
    <t xml:space="preserve">Strong trend/momentum signals (golden cross regime, strong positive MACD) offset by a volume divergence (declining volume on an up day) and a price well below its 52-week high after a pullback from highs; note stock is down ~6.6% YTD per MarketBeat. Note: stockanalysis.com returned a stale cached quote ($716.37) for this ticker during research — discarded in favor of investing.com/marketbeat.com, which agree at $616.77.</t>
  </si>
  <si>
    <t xml:space="preserve">Revenue growth remains robust and leverage is conservative, but rising AI-related depreciation/capex is compressing operating margin, FCF, and EPS. Valuation is rich vs. sector peers though not vs. Meta's own trading history.</t>
  </si>
  <si>
    <t xml:space="preserve">Sentiment has improved into early September on the AI product launch and legal settlement, but the underlying trend of heavy AI capex plus ongoing FTC antitrust appeal and steady insider selling temper the picture.</t>
  </si>
  <si>
    <t xml:space="preserve">TSLA</t>
  </si>
  <si>
    <t xml:space="preserve">Tesla Inc</t>
  </si>
  <si>
    <t xml:space="preserve">Price $354.08 below 50D SMA $358.55 (sell) but above 200D SMA $338.58 (buy); 50D&gt;200D still — mixed after a sharp one-day drop</t>
  </si>
  <si>
    <t xml:space="preserve">42.10 (neutral, leaning weak)</t>
  </si>
  <si>
    <t xml:space="preserve">MACD(12,26) = -1.72, sell signal</t>
  </si>
  <si>
    <t xml:space="preserve">Volume rose ~1M shares vs prior day amid a sharp -5.92% price drop — distribution signal</t>
  </si>
  <si>
    <t xml:space="preserve">$354.08 vs range $297.38–$498.83 = ~28.2nd percentile</t>
  </si>
  <si>
    <t xml:space="preserve">Trailing P/E 367.43 (stockanalysis.com) / 327.85 (GuruFocus) vs. Vehicles &amp; Parts industry median ~17.1 (roughly 19-21x median) and own 5-yr avg P/E ~170.43 (FY21-25: 192.54,30.91,52.66,181.82,394.22) — more than double own average. Overvalued by a wide margin both ways.</t>
  </si>
  <si>
    <t xml:space="preserve">TTM revenue $103,619M, +11.76% YoY</t>
  </si>
  <si>
    <t xml:space="preserve">Net margin 3.67% (TTM) vs 4.00% FY2025, -0.33 pt — roughly flat/slightly contracting but within the ±1 pt neutral band; operating margin 4.13% vs 4.59% (-0.46 pt)</t>
  </si>
  <si>
    <t xml:space="preserve">0.18x — conservative leverage</t>
  </si>
  <si>
    <t xml:space="preserve">TTM FCF $5,762M, +3.15% YoY (positive but modest); Diluted EPS $1.08 TTM, -35.64% YoY (negative)</t>
  </si>
  <si>
    <t xml:space="preserve">Consensus: Buy, but notably split (16 Strong Buy, 6 Buy, 19 Hold, 2 Sell, 3 Strong Sell across 46 analysts). Avg price target $390.09 vs current price $354.08 = +10.17% upside (just above the 10% bullish threshold, but the wide rating dispersion — over half of analysts at Hold/Sell — argues for a more neutral read than the headline label suggests).</t>
  </si>
  <si>
    <t xml:space="preserve">Predominantly negative in the most recent days. (1) Sept 4 2026: Tesla shares fell ~6% after its Cybercab robotaxi update 'underwhelmed' — the event was restricted/under NDA and left key questions on pricing, production cadence, and regulatory approval unanswered. (2) Same day, NHTSA opened an audit investigation into Tesla's self-certification of the Cybercab over the vehicle's lack of standard safety equipment (steering wheel, pedals, mirrors). (3) Partially offsetting: Tesla shareholders approved Musk's ~$1 trillion pay package earlier in 2026, removing governance/retention uncertainty, though it is highly dilutive and contingent on an ~8.5x market-cap growth target.</t>
  </si>
  <si>
    <t xml:space="preserve">Short interest 2.45% of float (69.20M shares); 1.75% of shares outstanding.</t>
  </si>
  <si>
    <t xml:space="preserve">Net insider selling: 5 insiders sold vs. 0 bought (~$120.3M trailing 12mo), including Director Kathleen Wilson-Thompson (~$9.99M, April 2026) and CFO Vaibhav Taneja (multiple sales through May-June 2026).</t>
  </si>
  <si>
    <t xml:space="preserve">Stock fell sharply (-5.92%) on the latest session on rising volume, pushing RSI and MACD negative and price below its 50D SMA; investing.com's overall daily technical rating was 'Strong Sell' on the day. Longer-term trend (200D SMA) remains intact and 52-week position is in the lower-middle of its range, well off its 52-week high.</t>
  </si>
  <si>
    <t xml:space="preserve">Valuation is dramatically elevated vs. both sector peers and Tesla's own historical range, and EPS has declined sharply YoY despite still-positive FCF — margin pressure from pricing/incentive competition in EVs is a key driver. Low leverage is the one clearly bullish leg.</t>
  </si>
  <si>
    <t xml:space="preserve">Most recent news flow (Cybercab disappointment + NHTSA probe on Sept 4) is clearly negative and coincided with a same-day ~6% share-price drop; this is the dominant sentiment driver right now, only partly offset by the earlier resolution of Musk's pay-package overhang.</t>
  </si>
  <si>
    <t xml:space="preserve">Category</t>
  </si>
  <si>
    <t xml:space="preserve">Source Name</t>
  </si>
  <si>
    <t xml:space="preserve">Source URL</t>
  </si>
  <si>
    <t xml:space="preserve">As Of</t>
  </si>
  <si>
    <t xml:space="preserve">Technical</t>
  </si>
  <si>
    <t xml:space="preserve">SMA Trend (50D/200D)</t>
  </si>
  <si>
    <t xml:space="preserve">Investing.com Technical Analysis</t>
  </si>
  <si>
    <t xml:space="preserve">https://www.investing.com/equities/nvidia-corp-technical</t>
  </si>
  <si>
    <t xml:space="preserve">2026-09-04</t>
  </si>
  <si>
    <t xml:space="preserve">RSI(14)</t>
  </si>
  <si>
    <t xml:space="preserve">MACD Signal</t>
  </si>
  <si>
    <t xml:space="preserve">Volume Trend</t>
  </si>
  <si>
    <t xml:space="preserve">StockInvest.us</t>
  </si>
  <si>
    <t xml:space="preserve">https://stockinvest.us/stock/NVDA</t>
  </si>
  <si>
    <t xml:space="preserve">52-Week Range Position</t>
  </si>
  <si>
    <t xml:space="preserve">StockAnalysis.com</t>
  </si>
  <si>
    <t xml:space="preserve">https://stockanalysis.com/stocks/NVDA/</t>
  </si>
  <si>
    <t xml:space="preserve">Fundamental</t>
  </si>
  <si>
    <t xml:space="preserve">P/E vs. Sector/Historical</t>
  </si>
  <si>
    <t xml:space="preserve">GuruFocus PE Ratio (TTM)</t>
  </si>
  <si>
    <t xml:space="preserve">https://www.gurufocus.com/term/pettm/NVDA</t>
  </si>
  <si>
    <t xml:space="preserve">Revenue Growth YoY</t>
  </si>
  <si>
    <t xml:space="preserve">stockanalysis.com/stocks/NVDA/financials</t>
  </si>
  <si>
    <t xml:space="preserve">https://stockanalysis.com/stocks/NVDA/financials/</t>
  </si>
  <si>
    <t xml:space="preserve">TTM ended 2026-07-26</t>
  </si>
  <si>
    <t xml:space="preserve">Profit Margin Trend</t>
  </si>
  <si>
    <t xml:space="preserve">Debt-to-Equity</t>
  </si>
  <si>
    <t xml:space="preserve">stockanalysis.com/stocks/NVDA/financials/ratios</t>
  </si>
  <si>
    <t xml:space="preserve">https://stockanalysis.com/stocks/NVDA/financials/ratios/</t>
  </si>
  <si>
    <t xml:space="preserve">FCF / EPS Growth</t>
  </si>
  <si>
    <t xml:space="preserve">stockanalysis.com/stocks/NVDA/financials/cash-flow-statement</t>
  </si>
  <si>
    <t xml:space="preserve">https://stockanalysis.com/stocks/NVDA/financials/cash-flow-statement/</t>
  </si>
  <si>
    <t xml:space="preserve">Sentiment</t>
  </si>
  <si>
    <t xml:space="preserve">Analyst Consensus &amp; Price Target</t>
  </si>
  <si>
    <t xml:space="preserve">StockAnalysis.com (S&amp;P Global consensus)</t>
  </si>
  <si>
    <t xml:space="preserve">https://stockanalysis.com/stocks/nvda/forecast/</t>
  </si>
  <si>
    <t xml:space="preserve">Recent News Sentiment</t>
  </si>
  <si>
    <t xml:space="preserve">CNBC / GuruFocus / TradingView News</t>
  </si>
  <si>
    <t xml:space="preserve">https://www.cnbc.com/2026/08/26/nvidia-nvda-earnings-report-q2-2027-live-updates.html</t>
  </si>
  <si>
    <t xml:space="preserve">2026-08-26 to 2026-09-02</t>
  </si>
  <si>
    <t xml:space="preserve">Short Interest</t>
  </si>
  <si>
    <t xml:space="preserve">StockAnalysis.com statistics</t>
  </si>
  <si>
    <t xml:space="preserve">https://stockanalysis.com/stocks/nvda/statistics/</t>
  </si>
  <si>
    <t xml:space="preserve">Insider Activity</t>
  </si>
  <si>
    <t xml:space="preserve">MarketBeat insider trades</t>
  </si>
  <si>
    <t xml:space="preserve">https://www.marketbeat.com/stocks/NASDAQ/NVDA/insider-trades/</t>
  </si>
  <si>
    <t xml:space="preserve">2026-09-06 (trailing ~3 months of filings through early Sept 2026)</t>
  </si>
  <si>
    <t xml:space="preserve">https://www.investing.com/equities/apple-computer-inc-technical</t>
  </si>
  <si>
    <t xml:space="preserve">https://stockinvest.us/stock/AAPL</t>
  </si>
  <si>
    <t xml:space="preserve">MarketBeat</t>
  </si>
  <si>
    <t xml:space="preserve">https://www.marketbeat.com/stocks/NASDAQ/AAPL/</t>
  </si>
  <si>
    <t xml:space="preserve">https://www.gurufocus.com/term/pettm/AAPL</t>
  </si>
  <si>
    <t xml:space="preserve">2026-09-05</t>
  </si>
  <si>
    <t xml:space="preserve">stockanalysis.com/stocks/AAPL/financials</t>
  </si>
  <si>
    <t xml:space="preserve">https://stockanalysis.com/stocks/AAPL/financials/</t>
  </si>
  <si>
    <t xml:space="preserve">TTM ended 2026-06-27</t>
  </si>
  <si>
    <t xml:space="preserve">stockanalysis.com/stocks/AAPL/financials/ratios</t>
  </si>
  <si>
    <t xml:space="preserve">https://stockanalysis.com/stocks/AAPL/financials/ratios/</t>
  </si>
  <si>
    <t xml:space="preserve">stockanalysis.com/stocks/AAPL/financials/cash-flow-statement</t>
  </si>
  <si>
    <t xml:space="preserve">https://stockanalysis.com/stocks/AAPL/financials/cash-flow-statement/</t>
  </si>
  <si>
    <t xml:space="preserve">https://stockanalysis.com/stocks/aapl/forecast/</t>
  </si>
  <si>
    <t xml:space="preserve">CNBC / 247wallst.com (BofA &amp; Morgan Stanley notes) / Investing.com</t>
  </si>
  <si>
    <t xml:space="preserve">https://www.cnbc.com/2026/08/26/apple-iphone-launch-date-john-ternus.html</t>
  </si>
  <si>
    <t xml:space="preserve">2026-08-18 to 2026-09-04</t>
  </si>
  <si>
    <t xml:space="preserve">https://stockanalysis.com/stocks/aapl/statistics/</t>
  </si>
  <si>
    <t xml:space="preserve">https://www.marketbeat.com/stocks/NASDAQ/AAPL/insider-trades/</t>
  </si>
  <si>
    <t xml:space="preserve">2026-09-06 (trailing ~3 months)</t>
  </si>
  <si>
    <t xml:space="preserve">https://www.investing.com/equities/google-inc-technical</t>
  </si>
  <si>
    <t xml:space="preserve">https://stockinvest.us/stock/GOOGL</t>
  </si>
  <si>
    <t xml:space="preserve">https://stockanalysis.com/stocks/GOOGL/</t>
  </si>
  <si>
    <t xml:space="preserve">https://www.gurufocus.com/term/pettm/GOOGL</t>
  </si>
  <si>
    <t xml:space="preserve">stockanalysis.com/stocks/GOOGL/financials</t>
  </si>
  <si>
    <t xml:space="preserve">https://stockanalysis.com/stocks/GOOGL/financials/</t>
  </si>
  <si>
    <t xml:space="preserve">TTM ended 2026-06-30</t>
  </si>
  <si>
    <t xml:space="preserve">stockanalysis.com/stocks/GOOGL/financials/ratios</t>
  </si>
  <si>
    <t xml:space="preserve">https://stockanalysis.com/stocks/GOOGL/financials/ratios/</t>
  </si>
  <si>
    <t xml:space="preserve">stockanalysis.com/stocks/GOOGL/financials/cash-flow-statement</t>
  </si>
  <si>
    <t xml:space="preserve">https://stockanalysis.com/stocks/GOOGL/financials/cash-flow-statement/</t>
  </si>
  <si>
    <t xml:space="preserve">https://stockanalysis.com/stocks/googl/forecast/</t>
  </si>
  <si>
    <t xml:space="preserve">CNBC / Motley Fool (opinion) / ad-hoc-news.de</t>
  </si>
  <si>
    <t xml:space="preserve">https://www.cnbc.com/2026/09/02/google-starts-september-with-ai-momentum-after-long-losing-streak.html</t>
  </si>
  <si>
    <t xml:space="preserve">2026-09-02 to 2026-09-03</t>
  </si>
  <si>
    <t xml:space="preserve">https://stockanalysis.com/stocks/googl/statistics/</t>
  </si>
  <si>
    <t xml:space="preserve">https://www.marketbeat.com/stocks/NASDAQ/GOOGL/insider-trades/</t>
  </si>
  <si>
    <t xml:space="preserve">https://www.investing.com/equities/microsoft-corp-technical</t>
  </si>
  <si>
    <t xml:space="preserve">https://stockinvest.us/stock/MSFT</t>
  </si>
  <si>
    <t xml:space="preserve">https://stockanalysis.com/stocks/MSFT/</t>
  </si>
  <si>
    <t xml:space="preserve">https://www.gurufocus.com/term/pettm/MSFT</t>
  </si>
  <si>
    <t xml:space="preserve">stockanalysis.com/stocks/MSFT/financials</t>
  </si>
  <si>
    <t xml:space="preserve">https://stockanalysis.com/stocks/MSFT/financials/</t>
  </si>
  <si>
    <t xml:space="preserve">stockanalysis.com/stocks/MSFT/financials/ratios</t>
  </si>
  <si>
    <t xml:space="preserve">https://stockanalysis.com/stocks/MSFT/financials/ratios/</t>
  </si>
  <si>
    <t xml:space="preserve">stockanalysis.com/stocks/MSFT/financials/cash-flow-statement</t>
  </si>
  <si>
    <t xml:space="preserve">https://stockanalysis.com/stocks/MSFT/financials/cash-flow-statement/</t>
  </si>
  <si>
    <t xml:space="preserve">FY2026 ended 2026-06-30</t>
  </si>
  <si>
    <t xml:space="preserve">https://stockanalysis.com/stocks/msft/forecast/</t>
  </si>
  <si>
    <t xml:space="preserve">MarketBeat news roundup</t>
  </si>
  <si>
    <t xml:space="preserve">https://www.marketbeat.com/stocks/NASDAQ/MSFT/news/</t>
  </si>
  <si>
    <t xml:space="preserve">2026-09-04 to 2026-09-05</t>
  </si>
  <si>
    <t xml:space="preserve">https://stockanalysis.com/stocks/msft/statistics/</t>
  </si>
  <si>
    <t xml:space="preserve">https://www.marketbeat.com/stocks/NASDAQ/MSFT/insider-trades/</t>
  </si>
  <si>
    <t xml:space="preserve">https://www.investing.com/equities/amazon-com-inc-technical</t>
  </si>
  <si>
    <t xml:space="preserve">https://stockinvest.us/stock/AMZN</t>
  </si>
  <si>
    <t xml:space="preserve">https://stockanalysis.com/stocks/AMZN/</t>
  </si>
  <si>
    <t xml:space="preserve">https://www.gurufocus.com/term/pettm/AMZN</t>
  </si>
  <si>
    <t xml:space="preserve">stockanalysis.com/stocks/AMZN/financials</t>
  </si>
  <si>
    <t xml:space="preserve">https://stockanalysis.com/stocks/AMZN/financials/</t>
  </si>
  <si>
    <t xml:space="preserve">stockanalysis.com/stocks/AMZN/financials/ratios</t>
  </si>
  <si>
    <t xml:space="preserve">https://stockanalysis.com/stocks/AMZN/financials/ratios/</t>
  </si>
  <si>
    <t xml:space="preserve">stockanalysis.com/stocks/AMZN/financials/cash-flow-statement</t>
  </si>
  <si>
    <t xml:space="preserve">https://stockanalysis.com/stocks/AMZN/financials/cash-flow-statement/</t>
  </si>
  <si>
    <t xml:space="preserve">https://stockanalysis.com/stocks/amzn/forecast/</t>
  </si>
  <si>
    <t xml:space="preserve">Yahoo Finance (danger zone article) / Webull/TradingView (Q2 recap)</t>
  </si>
  <si>
    <t xml:space="preserve">https://finance.yahoo.com/markets/stocks/article/amazon-stock-just-entered-the-danger-zone-104050035.html</t>
  </si>
  <si>
    <t xml:space="preserve">2026-09-02</t>
  </si>
  <si>
    <t xml:space="preserve">https://stockanalysis.com/stocks/amzn/statistics/</t>
  </si>
  <si>
    <t xml:space="preserve">2026-09-04 to 2026-09-06</t>
  </si>
  <si>
    <t xml:space="preserve">https://www.marketbeat.com/stocks/NASDAQ/AMZN/insider-trades/</t>
  </si>
  <si>
    <t xml:space="preserve">https://www.investing.com/equities/taiwan-semicond.manufacturing-co-technical</t>
  </si>
  <si>
    <t xml:space="preserve">https://stockinvest.us/stock/TSM</t>
  </si>
  <si>
    <t xml:space="preserve">https://stockanalysis.com/stocks/TSM/</t>
  </si>
  <si>
    <t xml:space="preserve">https://www.gurufocus.com/term/pettm/TSM</t>
  </si>
  <si>
    <t xml:space="preserve">stockanalysis.com/stocks/TSM/financials</t>
  </si>
  <si>
    <t xml:space="preserve">https://stockanalysis.com/stocks/TSM/financials/</t>
  </si>
  <si>
    <t xml:space="preserve">stockanalysis.com/stocks/TSM/financials/ratios</t>
  </si>
  <si>
    <t xml:space="preserve">https://stockanalysis.com/stocks/TSM/financials/ratios/</t>
  </si>
  <si>
    <t xml:space="preserve">stockanalysis.com/stocks/TSM/financials/cash-flow-statement</t>
  </si>
  <si>
    <t xml:space="preserve">https://stockanalysis.com/stocks/TSM/financials/cash-flow-statement/</t>
  </si>
  <si>
    <t xml:space="preserve">https://stockanalysis.com/stocks/tsm/forecast/</t>
  </si>
  <si>
    <t xml:space="preserve">2026-09-01/02</t>
  </si>
  <si>
    <t xml:space="preserve">CNBC / Bloomberg / Seeking Alpha</t>
  </si>
  <si>
    <t xml:space="preserve">https://www.cnbc.com/2026/08/10/tsmc-revenue-surge-ai-chip-big-tech.html</t>
  </si>
  <si>
    <t xml:space="preserve">2026-08-10 to 2026-09-06</t>
  </si>
  <si>
    <t xml:space="preserve">https://stockanalysis.com/stocks/tsm/statistics/</t>
  </si>
  <si>
    <t xml:space="preserve">Yahoo Finance / MarketBeat (via TradingView)</t>
  </si>
  <si>
    <t xml:space="preserve">https://finance.yahoo.com/markets/stocks/articles/tsmc-insiders-buying-pullback-signal-164000230.html</t>
  </si>
  <si>
    <t xml:space="preserve">2026-09-05 (covering buys since early July 2026)</t>
  </si>
  <si>
    <t xml:space="preserve">https://www.investing.com/equities/spacex-technical</t>
  </si>
  <si>
    <t xml:space="preserve">https://stockinvest.us/stock/SPCX</t>
  </si>
  <si>
    <t xml:space="preserve">https://stockanalysis.com/stocks/SPCX/</t>
  </si>
  <si>
    <t xml:space="preserve">stockanalysis.com/stocks/spcx</t>
  </si>
  <si>
    <t xml:space="preserve">https://stockanalysis.com/stocks/spcx/</t>
  </si>
  <si>
    <t xml:space="preserve">TTM ended approx. 2026-06-30</t>
  </si>
  <si>
    <t xml:space="preserve">NPR — SpaceX first earnings report since IPO</t>
  </si>
  <si>
    <t xml:space="preserve">https://www.npr.org/2026/08/04/nx-s1-5918536/spacex-first-earnings-report-since-ipo</t>
  </si>
  <si>
    <t xml:space="preserve">Q2 2026 (reported 2026-08-04)</t>
  </si>
  <si>
    <t xml:space="preserve">stockanalysis.com/stocks/spcx/financials/balance-sheet</t>
  </si>
  <si>
    <t xml:space="preserve">https://stockanalysis.com/stocks/spcx/financials/balance-sheet/</t>
  </si>
  <si>
    <t xml:space="preserve">stockanalysis.com/stocks/spcx/financials/cash-flow-statement</t>
  </si>
  <si>
    <t xml:space="preserve">https://stockanalysis.com/stocks/spcx/financials/cash-flow-statement/</t>
  </si>
  <si>
    <t xml:space="preserve">https://stockanalysis.com/stocks/spcx/forecast/</t>
  </si>
  <si>
    <t xml:space="preserve">Fortune / TechCrunch / CNBC</t>
  </si>
  <si>
    <t xml:space="preserve">https://fortune.com/2026/08/04/spacex-revenue-surges-92-to-7-8-billion-blowing-past-wall-street-expectations-by-nearly-1-billion/</t>
  </si>
  <si>
    <t xml:space="preserve">2026-08-04</t>
  </si>
  <si>
    <t xml:space="preserve">https://stockanalysis.com/stocks/spcx/statistics/</t>
  </si>
  <si>
    <t xml:space="preserve">The Motley Fool</t>
  </si>
  <si>
    <t xml:space="preserve">https://www.fool.com/investing/2026/09/05/insiders-and-early-investors-are-selling-spacex-st/</t>
  </si>
  <si>
    <t xml:space="preserve">https://www.investing.com/equities/avago-technologies-technical</t>
  </si>
  <si>
    <t xml:space="preserve">https://stockinvest.us/stock/AVGO</t>
  </si>
  <si>
    <t xml:space="preserve">https://stockanalysis.com/stocks/AVGO/</t>
  </si>
  <si>
    <t xml:space="preserve">https://www.gurufocus.com/term/pettm/AVGO</t>
  </si>
  <si>
    <t xml:space="preserve">stockanalysis.com/stocks/AVGO/financials</t>
  </si>
  <si>
    <t xml:space="preserve">https://stockanalysis.com/stocks/AVGO/financials/</t>
  </si>
  <si>
    <t xml:space="preserve">TTM ended 2026-08-02</t>
  </si>
  <si>
    <t xml:space="preserve">stockanalysis.com/stocks/AVGO/financials/ratios</t>
  </si>
  <si>
    <t xml:space="preserve">https://stockanalysis.com/stocks/AVGO/financials/ratios/</t>
  </si>
  <si>
    <t xml:space="preserve">stockanalysis.com/stocks/AVGO/financials/cash-flow-statement</t>
  </si>
  <si>
    <t xml:space="preserve">https://stockanalysis.com/stocks/AVGO/financials/cash-flow-statement/</t>
  </si>
  <si>
    <t xml:space="preserve">https://stockanalysis.com/stocks/avgo/forecast/</t>
  </si>
  <si>
    <t xml:space="preserve">Yahoo Finance (earnings recap with analyst quotes)</t>
  </si>
  <si>
    <t xml:space="preserve">https://finance.yahoo.com/markets/stocks/articles/broadcom-avgo-ai-revenue-soars-145838390.html</t>
  </si>
  <si>
    <t xml:space="preserve">https://stockanalysis.com/stocks/avgo/statistics/</t>
  </si>
  <si>
    <t xml:space="preserve">https://www.marketbeat.com/stocks/NASDAQ/AVGO/insider-trades</t>
  </si>
  <si>
    <t xml:space="preserve">2026-09-06 (transactions dated Dec 2025-Jan 2026 per source; treat dates with some caution)</t>
  </si>
  <si>
    <t xml:space="preserve">https://www.investing.com/equities/facebook-inc-technical</t>
  </si>
  <si>
    <t xml:space="preserve">https://stockinvest.us/stock/META</t>
  </si>
  <si>
    <t xml:space="preserve">https://www.marketbeat.com/stocks/NASDAQ/META/</t>
  </si>
  <si>
    <t xml:space="preserve">https://www.gurufocus.com/term/pettm/META</t>
  </si>
  <si>
    <t xml:space="preserve">stockanalysis.com/stocks/META/financials</t>
  </si>
  <si>
    <t xml:space="preserve">https://stockanalysis.com/stocks/META/financials/</t>
  </si>
  <si>
    <t xml:space="preserve">stockanalysis.com/stocks/META/financials/ratios</t>
  </si>
  <si>
    <t xml:space="preserve">https://stockanalysis.com/stocks/META/financials/ratios/</t>
  </si>
  <si>
    <t xml:space="preserve">stockanalysis.com/stocks/META/financials/cash-flow-statement</t>
  </si>
  <si>
    <t xml:space="preserve">https://stockanalysis.com/stocks/META/financials/cash-flow-statement/</t>
  </si>
  <si>
    <t xml:space="preserve">https://stockanalysis.com/stocks/meta/forecast/</t>
  </si>
  <si>
    <t xml:space="preserve">2026-09-01</t>
  </si>
  <si>
    <t xml:space="preserve">ad-hoc-news.de / MediaPost</t>
  </si>
  <si>
    <t xml:space="preserve">https://www.ad-hoc-news.de/boerse/news/corporate-news/meta-platforms-stock-gains-on-ai-launch-and-settlement/70046874</t>
  </si>
  <si>
    <t xml:space="preserve">https://stockanalysis.com/stocks/meta/statistics/</t>
  </si>
  <si>
    <t xml:space="preserve">https://www.marketbeat.com/stocks/NASDAQ/META/insider-trades/</t>
  </si>
  <si>
    <t xml:space="preserve">https://www.investing.com/equities/tesla-motors-technical</t>
  </si>
  <si>
    <t xml:space="preserve">https://stockinvest.us/stock/TSLA</t>
  </si>
  <si>
    <t xml:space="preserve">https://stockanalysis.com/stocks/TSLA/</t>
  </si>
  <si>
    <t xml:space="preserve">https://www.gurufocus.com/term/pettm/TSLA</t>
  </si>
  <si>
    <t xml:space="preserve">stockanalysis.com/stocks/TSLA/financials</t>
  </si>
  <si>
    <t xml:space="preserve">https://stockanalysis.com/stocks/TSLA/financials/</t>
  </si>
  <si>
    <t xml:space="preserve">stockanalysis.com/stocks/TSLA/financials/ratios</t>
  </si>
  <si>
    <t xml:space="preserve">https://stockanalysis.com/stocks/TSLA/financials/ratios/</t>
  </si>
  <si>
    <t xml:space="preserve">stockanalysis.com/stocks/TSLA/financials/cash-flow-statement</t>
  </si>
  <si>
    <t xml:space="preserve">https://stockanalysis.com/stocks/TSLA/financials/cash-flow-statement/</t>
  </si>
  <si>
    <t xml:space="preserve">https://stockanalysis.com/stocks/tsla/forecast/</t>
  </si>
  <si>
    <t xml:space="preserve">The Motley Fool / CNBC</t>
  </si>
  <si>
    <t xml:space="preserve">https://www.fool.com/investing/2026/09/04/why-did-tesla-stock-fall-today/</t>
  </si>
  <si>
    <t xml:space="preserve">https://stockanalysis.com/stocks/tsla/statistics/</t>
  </si>
  <si>
    <t xml:space="preserve">https://www.marketbeat.com/stocks/NASDAQ/TSLA/insider-trades/</t>
  </si>
</sst>
</file>

<file path=xl/styles.xml><?xml version="1.0" encoding="utf-8"?>
<styleSheet xmlns="http://schemas.openxmlformats.org/spreadsheetml/2006/main">
  <numFmts count="2">
    <numFmt numFmtId="164" formatCode="General"/>
    <numFmt numFmtId="165" formatCode="0.00"/>
  </numFmts>
  <fonts count="11">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b val="true"/>
      <sz val="10"/>
      <color rgb="FFFFFFFF"/>
      <name val="Arial"/>
      <family val="0"/>
      <charset val="1"/>
    </font>
    <font>
      <sz val="10"/>
      <name val="Arial"/>
      <family val="0"/>
      <charset val="1"/>
    </font>
    <font>
      <sz val="10"/>
      <color rgb="FF0000FF"/>
      <name val="Arial"/>
      <family val="0"/>
      <charset val="1"/>
    </font>
    <font>
      <i val="true"/>
      <sz val="9"/>
      <color rgb="FF666666"/>
      <name val="Arial"/>
      <family val="0"/>
      <charset val="1"/>
    </font>
    <font>
      <b val="true"/>
      <sz val="10"/>
      <color rgb="FF000000"/>
      <name val="Arial"/>
      <family val="0"/>
      <charset val="1"/>
    </font>
    <font>
      <b val="true"/>
      <sz val="10"/>
      <name val="Arial"/>
      <family val="0"/>
      <charset val="1"/>
    </font>
  </fonts>
  <fills count="7">
    <fill>
      <patternFill patternType="none"/>
    </fill>
    <fill>
      <patternFill patternType="gray125"/>
    </fill>
    <fill>
      <patternFill patternType="solid">
        <fgColor rgb="FF1F4E78"/>
        <bgColor rgb="FF003366"/>
      </patternFill>
    </fill>
    <fill>
      <patternFill patternType="solid">
        <fgColor rgb="FFF2F2F2"/>
        <bgColor rgb="FFE2EFDA"/>
      </patternFill>
    </fill>
    <fill>
      <patternFill patternType="solid">
        <fgColor rgb="FFD9E1F2"/>
        <bgColor rgb="FFE2EFDA"/>
      </patternFill>
    </fill>
    <fill>
      <patternFill patternType="solid">
        <fgColor rgb="FFE2EFDA"/>
        <bgColor rgb="FFF2F2F2"/>
      </patternFill>
    </fill>
    <fill>
      <patternFill patternType="solid">
        <fgColor rgb="FFFCE4D6"/>
        <bgColor rgb="FFF2F2F2"/>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5" fontId="0" fillId="0" borderId="1" xfId="0" applyFont="false" applyBorder="true" applyAlignment="true" applyProtection="false">
      <alignment horizontal="center" vertical="center" textRotation="0" wrapText="false" indent="0" shrinkToFit="false"/>
      <protection locked="true" hidden="false"/>
    </xf>
    <xf numFmtId="165" fontId="10"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4"/>
    <col collapsed="false" customWidth="true" hidden="false" outlineLevel="0" max="3" min="3" style="0" width="80"/>
  </cols>
  <sheetData>
    <row r="1" customFormat="false" ht="15" hidden="false" customHeight="false" outlineLevel="0" collapsed="false">
      <c r="A1" s="1" t="s">
        <v>0</v>
      </c>
    </row>
    <row r="3" customFormat="false" ht="15" hidden="false" customHeight="false" outlineLevel="0" collapsed="false">
      <c r="A3" s="2" t="s">
        <v>1</v>
      </c>
      <c r="B3" s="2" t="s">
        <v>2</v>
      </c>
      <c r="C3" s="2" t="s">
        <v>3</v>
      </c>
    </row>
    <row r="4" customFormat="false" ht="15" hidden="false" customHeight="false" outlineLevel="0" collapsed="false">
      <c r="A4" s="3" t="s">
        <v>4</v>
      </c>
      <c r="B4" s="4" t="n">
        <v>0.3</v>
      </c>
      <c r="C4" s="5" t="s">
        <v>5</v>
      </c>
    </row>
    <row r="5" customFormat="false" ht="15" hidden="false" customHeight="false" outlineLevel="0" collapsed="false">
      <c r="A5" s="3" t="s">
        <v>6</v>
      </c>
      <c r="B5" s="4" t="n">
        <v>0.4</v>
      </c>
      <c r="C5" s="5" t="s">
        <v>5</v>
      </c>
    </row>
    <row r="6" customFormat="false" ht="15" hidden="false" customHeight="false" outlineLevel="0" collapsed="false">
      <c r="A6" s="3" t="s">
        <v>7</v>
      </c>
      <c r="B6" s="4" t="n">
        <v>0.3</v>
      </c>
      <c r="C6" s="5" t="s">
        <v>5</v>
      </c>
    </row>
    <row r="7" customFormat="false" ht="15" hidden="false" customHeight="false" outlineLevel="0" collapsed="false">
      <c r="A7" s="3" t="s">
        <v>8</v>
      </c>
      <c r="B7" s="4" t="n">
        <v>7</v>
      </c>
      <c r="C7" s="5" t="s">
        <v>9</v>
      </c>
    </row>
    <row r="8" customFormat="false" ht="15" hidden="false" customHeight="false" outlineLevel="0" collapsed="false">
      <c r="A8" s="3" t="s">
        <v>10</v>
      </c>
      <c r="B8" s="4" t="n">
        <v>4.5</v>
      </c>
      <c r="C8" s="5" t="s">
        <v>11</v>
      </c>
    </row>
    <row r="9" customFormat="false" ht="15" hidden="false" customHeight="false" outlineLevel="0" collapsed="false">
      <c r="A9" s="3" t="s">
        <v>12</v>
      </c>
      <c r="B9" s="4" t="s">
        <v>13</v>
      </c>
      <c r="C9" s="5" t="s">
        <v>14</v>
      </c>
    </row>
    <row r="10" customFormat="false" ht="15" hidden="false" customHeight="false" outlineLevel="0" collapsed="false">
      <c r="A10" s="3" t="s">
        <v>15</v>
      </c>
      <c r="B10" s="4" t="s">
        <v>16</v>
      </c>
      <c r="C10" s="5"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2" topLeftCell="F3" activePane="bottomRight" state="frozen"/>
      <selection pane="topLeft" activeCell="A1" activeCellId="0" sqref="A1"/>
      <selection pane="topRight" activeCell="F1" activeCellId="0" sqref="F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4" min="3" style="0" width="12"/>
    <col collapsed="false" customWidth="true" hidden="false" outlineLevel="0" max="5" min="5" style="0" width="14"/>
    <col collapsed="false" customWidth="true" hidden="false" outlineLevel="0" max="19" min="6" style="0" width="40"/>
    <col collapsed="false" customWidth="true" hidden="false" outlineLevel="0" max="33" min="20" style="0" width="9"/>
    <col collapsed="false" customWidth="true" hidden="false" outlineLevel="0" max="38" min="34" style="0" width="13"/>
    <col collapsed="false" customWidth="true" hidden="false" outlineLevel="0" max="41" min="39" style="0" width="50"/>
  </cols>
  <sheetData>
    <row r="1" customFormat="false" ht="15" hidden="false" customHeight="false" outlineLevel="0" collapsed="false">
      <c r="A1" s="6" t="s">
        <v>18</v>
      </c>
      <c r="B1" s="6"/>
      <c r="C1" s="6"/>
      <c r="D1" s="6"/>
      <c r="E1" s="6"/>
      <c r="F1" s="6" t="s">
        <v>19</v>
      </c>
      <c r="G1" s="6"/>
      <c r="H1" s="6"/>
      <c r="I1" s="6"/>
      <c r="J1" s="6"/>
      <c r="K1" s="6" t="s">
        <v>20</v>
      </c>
      <c r="L1" s="6"/>
      <c r="M1" s="6"/>
      <c r="N1" s="6"/>
      <c r="O1" s="6"/>
      <c r="P1" s="6" t="s">
        <v>21</v>
      </c>
      <c r="Q1" s="6"/>
      <c r="R1" s="6"/>
      <c r="S1" s="6"/>
      <c r="T1" s="6" t="s">
        <v>22</v>
      </c>
      <c r="U1" s="6"/>
      <c r="V1" s="6"/>
      <c r="W1" s="6"/>
      <c r="X1" s="6"/>
      <c r="Y1" s="6" t="s">
        <v>23</v>
      </c>
      <c r="Z1" s="6"/>
      <c r="AA1" s="6"/>
      <c r="AB1" s="6"/>
      <c r="AC1" s="6"/>
      <c r="AD1" s="6" t="s">
        <v>24</v>
      </c>
      <c r="AE1" s="6"/>
      <c r="AF1" s="6"/>
      <c r="AG1" s="6"/>
      <c r="AH1" s="6" t="s">
        <v>25</v>
      </c>
      <c r="AI1" s="6"/>
      <c r="AJ1" s="6"/>
      <c r="AK1" s="6"/>
      <c r="AL1" s="6"/>
      <c r="AM1" s="6" t="s">
        <v>26</v>
      </c>
      <c r="AN1" s="6"/>
      <c r="AO1" s="6"/>
    </row>
    <row r="2" customFormat="false" ht="68.65" hidden="false" customHeight="false" outlineLevel="0" collapsed="false">
      <c r="A2" s="7" t="s">
        <v>27</v>
      </c>
      <c r="B2" s="7" t="s">
        <v>28</v>
      </c>
      <c r="C2" s="7" t="s">
        <v>29</v>
      </c>
      <c r="D2" s="7" t="s">
        <v>30</v>
      </c>
      <c r="E2" s="7" t="s">
        <v>31</v>
      </c>
      <c r="F2" s="8" t="s">
        <v>32</v>
      </c>
      <c r="G2" s="8" t="s">
        <v>33</v>
      </c>
      <c r="H2" s="8" t="s">
        <v>34</v>
      </c>
      <c r="I2" s="8" t="s">
        <v>35</v>
      </c>
      <c r="J2" s="8" t="s">
        <v>36</v>
      </c>
      <c r="K2" s="9" t="s">
        <v>37</v>
      </c>
      <c r="L2" s="9" t="s">
        <v>38</v>
      </c>
      <c r="M2" s="9" t="s">
        <v>39</v>
      </c>
      <c r="N2" s="9" t="s">
        <v>40</v>
      </c>
      <c r="O2" s="9" t="s">
        <v>41</v>
      </c>
      <c r="P2" s="10" t="s">
        <v>42</v>
      </c>
      <c r="Q2" s="10" t="s">
        <v>43</v>
      </c>
      <c r="R2" s="10" t="s">
        <v>44</v>
      </c>
      <c r="S2" s="10" t="s">
        <v>45</v>
      </c>
      <c r="T2" s="8" t="s">
        <v>46</v>
      </c>
      <c r="U2" s="8" t="s">
        <v>47</v>
      </c>
      <c r="V2" s="8" t="s">
        <v>48</v>
      </c>
      <c r="W2" s="8" t="s">
        <v>49</v>
      </c>
      <c r="X2" s="8" t="s">
        <v>50</v>
      </c>
      <c r="Y2" s="9" t="s">
        <v>51</v>
      </c>
      <c r="Z2" s="9" t="s">
        <v>52</v>
      </c>
      <c r="AA2" s="9" t="s">
        <v>53</v>
      </c>
      <c r="AB2" s="9" t="s">
        <v>54</v>
      </c>
      <c r="AC2" s="9" t="s">
        <v>55</v>
      </c>
      <c r="AD2" s="10" t="s">
        <v>56</v>
      </c>
      <c r="AE2" s="10" t="s">
        <v>57</v>
      </c>
      <c r="AF2" s="10" t="s">
        <v>58</v>
      </c>
      <c r="AG2" s="10" t="s">
        <v>59</v>
      </c>
      <c r="AH2" s="7" t="s">
        <v>60</v>
      </c>
      <c r="AI2" s="7" t="s">
        <v>61</v>
      </c>
      <c r="AJ2" s="7" t="s">
        <v>62</v>
      </c>
      <c r="AK2" s="7" t="s">
        <v>63</v>
      </c>
      <c r="AL2" s="7" t="s">
        <v>64</v>
      </c>
      <c r="AM2" s="7" t="s">
        <v>65</v>
      </c>
      <c r="AN2" s="7" t="s">
        <v>66</v>
      </c>
      <c r="AO2" s="7" t="s">
        <v>67</v>
      </c>
    </row>
    <row r="3" customFormat="false" ht="60" hidden="false" customHeight="true" outlineLevel="0" collapsed="false">
      <c r="A3" s="11" t="s">
        <v>68</v>
      </c>
      <c r="B3" s="12" t="s">
        <v>69</v>
      </c>
      <c r="C3" s="12" t="s">
        <v>70</v>
      </c>
      <c r="D3" s="12" t="s">
        <v>71</v>
      </c>
      <c r="E3" s="12"/>
      <c r="F3" s="12" t="s">
        <v>72</v>
      </c>
      <c r="G3" s="12" t="s">
        <v>73</v>
      </c>
      <c r="H3" s="12" t="s">
        <v>74</v>
      </c>
      <c r="I3" s="12" t="s">
        <v>75</v>
      </c>
      <c r="J3" s="12" t="s">
        <v>76</v>
      </c>
      <c r="K3" s="12" t="s">
        <v>77</v>
      </c>
      <c r="L3" s="12" t="s">
        <v>78</v>
      </c>
      <c r="M3" s="12" t="s">
        <v>79</v>
      </c>
      <c r="N3" s="12" t="s">
        <v>80</v>
      </c>
      <c r="O3" s="12" t="s">
        <v>81</v>
      </c>
      <c r="P3" s="12" t="s">
        <v>82</v>
      </c>
      <c r="Q3" s="12" t="s">
        <v>83</v>
      </c>
      <c r="R3" s="12" t="s">
        <v>84</v>
      </c>
      <c r="S3" s="12" t="s">
        <v>85</v>
      </c>
      <c r="T3" s="13" t="n">
        <v>9</v>
      </c>
      <c r="U3" s="13" t="n">
        <v>6</v>
      </c>
      <c r="V3" s="13" t="n">
        <v>8</v>
      </c>
      <c r="W3" s="13" t="n">
        <v>8</v>
      </c>
      <c r="X3" s="13" t="n">
        <v>9</v>
      </c>
      <c r="Y3" s="13" t="n">
        <v>9</v>
      </c>
      <c r="Z3" s="13" t="n">
        <v>10</v>
      </c>
      <c r="AA3" s="13" t="n">
        <v>9</v>
      </c>
      <c r="AB3" s="13" t="n">
        <v>9</v>
      </c>
      <c r="AC3" s="13" t="n">
        <v>10</v>
      </c>
      <c r="AD3" s="13" t="n">
        <v>9</v>
      </c>
      <c r="AE3" s="13" t="n">
        <v>8</v>
      </c>
      <c r="AF3" s="13" t="n">
        <v>9</v>
      </c>
      <c r="AG3" s="13" t="n">
        <v>2</v>
      </c>
      <c r="AH3" s="14" t="n">
        <f aca="false">IFERROR(AVERAGE(T3:X3),"")</f>
        <v>8</v>
      </c>
      <c r="AI3" s="14" t="n">
        <f aca="false">IFERROR(AVERAGE(Y3:AC3),"")</f>
        <v>9.4</v>
      </c>
      <c r="AJ3" s="14" t="n">
        <f aca="false">IFERROR(AVERAGE(AD3:AG3),"")</f>
        <v>7</v>
      </c>
      <c r="AK3" s="15" t="n">
        <f aca="false">IFERROR(AH3*Config!$B$4+AI3*Config!$B$5+AJ3*Config!$B$6,"")</f>
        <v>8.26</v>
      </c>
      <c r="AL3" s="16" t="str">
        <f aca="false">IF(AK3="","",IF(UPPER(C3)="NO POSITION",IF(AK3&gt;=Config!$B$7,"BUY","NO ACTION"),IF(AK3&gt;=Config!$B$7,"BUY (add)",IF(AK3&lt;Config!$B$8,"SELL","HOLD"))))</f>
        <v>BUY</v>
      </c>
      <c r="AM3" s="17" t="s">
        <v>86</v>
      </c>
      <c r="AN3" s="17" t="s">
        <v>87</v>
      </c>
      <c r="AO3" s="17" t="s">
        <v>88</v>
      </c>
    </row>
    <row r="4" customFormat="false" ht="60" hidden="false" customHeight="true" outlineLevel="0" collapsed="false">
      <c r="A4" s="11" t="s">
        <v>89</v>
      </c>
      <c r="B4" s="12" t="s">
        <v>90</v>
      </c>
      <c r="C4" s="12" t="s">
        <v>70</v>
      </c>
      <c r="D4" s="12" t="s">
        <v>71</v>
      </c>
      <c r="E4" s="12"/>
      <c r="F4" s="12" t="s">
        <v>91</v>
      </c>
      <c r="G4" s="12" t="s">
        <v>92</v>
      </c>
      <c r="H4" s="12" t="s">
        <v>93</v>
      </c>
      <c r="I4" s="12" t="s">
        <v>94</v>
      </c>
      <c r="J4" s="12" t="s">
        <v>95</v>
      </c>
      <c r="K4" s="12" t="s">
        <v>96</v>
      </c>
      <c r="L4" s="12" t="s">
        <v>97</v>
      </c>
      <c r="M4" s="12" t="s">
        <v>98</v>
      </c>
      <c r="N4" s="12" t="s">
        <v>99</v>
      </c>
      <c r="O4" s="12" t="s">
        <v>100</v>
      </c>
      <c r="P4" s="12" t="s">
        <v>101</v>
      </c>
      <c r="Q4" s="12" t="s">
        <v>102</v>
      </c>
      <c r="R4" s="12" t="s">
        <v>103</v>
      </c>
      <c r="S4" s="12" t="s">
        <v>104</v>
      </c>
      <c r="T4" s="13" t="n">
        <v>6</v>
      </c>
      <c r="U4" s="13" t="n">
        <v>5</v>
      </c>
      <c r="V4" s="13" t="n">
        <v>4</v>
      </c>
      <c r="W4" s="13" t="n">
        <v>3</v>
      </c>
      <c r="X4" s="13" t="n">
        <v>7</v>
      </c>
      <c r="Y4" s="13" t="n">
        <v>3</v>
      </c>
      <c r="Z4" s="13" t="n">
        <v>6</v>
      </c>
      <c r="AA4" s="13" t="n">
        <v>6</v>
      </c>
      <c r="AB4" s="13" t="n">
        <v>6</v>
      </c>
      <c r="AC4" s="13" t="n">
        <v>9</v>
      </c>
      <c r="AD4" s="13" t="n">
        <v>6</v>
      </c>
      <c r="AE4" s="13" t="n">
        <v>6</v>
      </c>
      <c r="AF4" s="13" t="n">
        <v>9</v>
      </c>
      <c r="AG4" s="13" t="n">
        <v>3</v>
      </c>
      <c r="AH4" s="14" t="n">
        <f aca="false">IFERROR(AVERAGE(T4:X4),"")</f>
        <v>5</v>
      </c>
      <c r="AI4" s="14" t="n">
        <f aca="false">IFERROR(AVERAGE(Y4:AC4),"")</f>
        <v>6</v>
      </c>
      <c r="AJ4" s="14" t="n">
        <f aca="false">IFERROR(AVERAGE(AD4:AG4),"")</f>
        <v>6</v>
      </c>
      <c r="AK4" s="15" t="n">
        <f aca="false">IFERROR(AH4*Config!$B$4+AI4*Config!$B$5+AJ4*Config!$B$6,"")</f>
        <v>5.7</v>
      </c>
      <c r="AL4" s="16" t="str">
        <f aca="false">IF(AK4="","",IF(UPPER(C4)="NO POSITION",IF(AK4&gt;=Config!$B$7,"BUY","NO ACTION"),IF(AK4&gt;=Config!$B$7,"BUY (add)",IF(AK4&lt;Config!$B$8,"SELL","HOLD"))))</f>
        <v>NO ACTION</v>
      </c>
      <c r="AM4" s="17" t="s">
        <v>105</v>
      </c>
      <c r="AN4" s="17" t="s">
        <v>106</v>
      </c>
      <c r="AO4" s="17" t="s">
        <v>107</v>
      </c>
    </row>
    <row r="5" customFormat="false" ht="60" hidden="false" customHeight="true" outlineLevel="0" collapsed="false">
      <c r="A5" s="11" t="s">
        <v>108</v>
      </c>
      <c r="B5" s="12" t="s">
        <v>109</v>
      </c>
      <c r="C5" s="12" t="s">
        <v>70</v>
      </c>
      <c r="D5" s="12" t="s">
        <v>71</v>
      </c>
      <c r="E5" s="12"/>
      <c r="F5" s="12" t="s">
        <v>110</v>
      </c>
      <c r="G5" s="12" t="s">
        <v>111</v>
      </c>
      <c r="H5" s="12" t="s">
        <v>112</v>
      </c>
      <c r="I5" s="12" t="s">
        <v>113</v>
      </c>
      <c r="J5" s="12" t="s">
        <v>114</v>
      </c>
      <c r="K5" s="12" t="s">
        <v>115</v>
      </c>
      <c r="L5" s="12" t="s">
        <v>116</v>
      </c>
      <c r="M5" s="12" t="s">
        <v>117</v>
      </c>
      <c r="N5" s="12" t="s">
        <v>118</v>
      </c>
      <c r="O5" s="12" t="s">
        <v>119</v>
      </c>
      <c r="P5" s="12" t="s">
        <v>120</v>
      </c>
      <c r="Q5" s="12" t="s">
        <v>121</v>
      </c>
      <c r="R5" s="12" t="s">
        <v>122</v>
      </c>
      <c r="S5" s="12" t="s">
        <v>123</v>
      </c>
      <c r="T5" s="13" t="n">
        <v>3</v>
      </c>
      <c r="U5" s="13" t="n">
        <v>5</v>
      </c>
      <c r="V5" s="13" t="n">
        <v>3</v>
      </c>
      <c r="W5" s="13" t="n">
        <v>3</v>
      </c>
      <c r="X5" s="13" t="n">
        <v>6</v>
      </c>
      <c r="Y5" s="13" t="n">
        <v>7</v>
      </c>
      <c r="Z5" s="13" t="n">
        <v>9</v>
      </c>
      <c r="AA5" s="13" t="n">
        <v>8</v>
      </c>
      <c r="AB5" s="13" t="n">
        <v>9</v>
      </c>
      <c r="AC5" s="13" t="n">
        <v>4</v>
      </c>
      <c r="AD5" s="13" t="n">
        <v>9</v>
      </c>
      <c r="AE5" s="13" t="n">
        <v>8</v>
      </c>
      <c r="AF5" s="13" t="n">
        <v>9</v>
      </c>
      <c r="AG5" s="13" t="n">
        <v>3</v>
      </c>
      <c r="AH5" s="14" t="n">
        <f aca="false">IFERROR(AVERAGE(T5:X5),"")</f>
        <v>4</v>
      </c>
      <c r="AI5" s="14" t="n">
        <f aca="false">IFERROR(AVERAGE(Y5:AC5),"")</f>
        <v>7.4</v>
      </c>
      <c r="AJ5" s="14" t="n">
        <f aca="false">IFERROR(AVERAGE(AD5:AG5),"")</f>
        <v>7.25</v>
      </c>
      <c r="AK5" s="15" t="n">
        <f aca="false">IFERROR(AH5*Config!$B$4+AI5*Config!$B$5+AJ5*Config!$B$6,"")</f>
        <v>6.335</v>
      </c>
      <c r="AL5" s="16" t="str">
        <f aca="false">IF(AK5="","",IF(UPPER(C5)="NO POSITION",IF(AK5&gt;=Config!$B$7,"BUY","NO ACTION"),IF(AK5&gt;=Config!$B$7,"BUY (add)",IF(AK5&lt;Config!$B$8,"SELL","HOLD"))))</f>
        <v>NO ACTION</v>
      </c>
      <c r="AM5" s="17" t="s">
        <v>124</v>
      </c>
      <c r="AN5" s="17" t="s">
        <v>125</v>
      </c>
      <c r="AO5" s="17" t="s">
        <v>126</v>
      </c>
    </row>
    <row r="6" customFormat="false" ht="60" hidden="false" customHeight="true" outlineLevel="0" collapsed="false">
      <c r="A6" s="11" t="s">
        <v>127</v>
      </c>
      <c r="B6" s="12" t="s">
        <v>128</v>
      </c>
      <c r="C6" s="12" t="s">
        <v>70</v>
      </c>
      <c r="D6" s="12" t="s">
        <v>71</v>
      </c>
      <c r="E6" s="12"/>
      <c r="F6" s="12" t="s">
        <v>129</v>
      </c>
      <c r="G6" s="12" t="s">
        <v>130</v>
      </c>
      <c r="H6" s="12" t="s">
        <v>131</v>
      </c>
      <c r="I6" s="12" t="s">
        <v>132</v>
      </c>
      <c r="J6" s="12" t="s">
        <v>133</v>
      </c>
      <c r="K6" s="12" t="s">
        <v>134</v>
      </c>
      <c r="L6" s="12" t="s">
        <v>135</v>
      </c>
      <c r="M6" s="12" t="s">
        <v>136</v>
      </c>
      <c r="N6" s="12" t="s">
        <v>137</v>
      </c>
      <c r="O6" s="12" t="s">
        <v>138</v>
      </c>
      <c r="P6" s="12" t="s">
        <v>139</v>
      </c>
      <c r="Q6" s="12" t="s">
        <v>140</v>
      </c>
      <c r="R6" s="12" t="s">
        <v>141</v>
      </c>
      <c r="S6" s="12" t="s">
        <v>142</v>
      </c>
      <c r="T6" s="13" t="n">
        <v>6</v>
      </c>
      <c r="U6" s="13" t="n">
        <v>5</v>
      </c>
      <c r="V6" s="13" t="n">
        <v>3</v>
      </c>
      <c r="W6" s="13" t="n">
        <v>6</v>
      </c>
      <c r="X6" s="13" t="n">
        <v>7</v>
      </c>
      <c r="Y6" s="13" t="n">
        <v>5</v>
      </c>
      <c r="Z6" s="13" t="n">
        <v>9</v>
      </c>
      <c r="AA6" s="13" t="n">
        <v>9</v>
      </c>
      <c r="AB6" s="13" t="n">
        <v>9</v>
      </c>
      <c r="AC6" s="13" t="n">
        <v>4</v>
      </c>
      <c r="AD6" s="13" t="n">
        <v>8</v>
      </c>
      <c r="AE6" s="13" t="n">
        <v>6</v>
      </c>
      <c r="AF6" s="13" t="n">
        <v>9</v>
      </c>
      <c r="AG6" s="13" t="n">
        <v>3</v>
      </c>
      <c r="AH6" s="14" t="n">
        <f aca="false">IFERROR(AVERAGE(T6:X6),"")</f>
        <v>5.4</v>
      </c>
      <c r="AI6" s="14" t="n">
        <f aca="false">IFERROR(AVERAGE(Y6:AC6),"")</f>
        <v>7.2</v>
      </c>
      <c r="AJ6" s="14" t="n">
        <f aca="false">IFERROR(AVERAGE(AD6:AG6),"")</f>
        <v>6.5</v>
      </c>
      <c r="AK6" s="15" t="n">
        <f aca="false">IFERROR(AH6*Config!$B$4+AI6*Config!$B$5+AJ6*Config!$B$6,"")</f>
        <v>6.45</v>
      </c>
      <c r="AL6" s="16" t="str">
        <f aca="false">IF(AK6="","",IF(UPPER(C6)="NO POSITION",IF(AK6&gt;=Config!$B$7,"BUY","NO ACTION"),IF(AK6&gt;=Config!$B$7,"BUY (add)",IF(AK6&lt;Config!$B$8,"SELL","HOLD"))))</f>
        <v>NO ACTION</v>
      </c>
      <c r="AM6" s="17" t="s">
        <v>143</v>
      </c>
      <c r="AN6" s="17" t="s">
        <v>144</v>
      </c>
      <c r="AO6" s="17" t="s">
        <v>145</v>
      </c>
    </row>
    <row r="7" customFormat="false" ht="60" hidden="false" customHeight="true" outlineLevel="0" collapsed="false">
      <c r="A7" s="11" t="s">
        <v>146</v>
      </c>
      <c r="B7" s="12" t="s">
        <v>147</v>
      </c>
      <c r="C7" s="12" t="s">
        <v>70</v>
      </c>
      <c r="D7" s="12" t="s">
        <v>71</v>
      </c>
      <c r="E7" s="12"/>
      <c r="F7" s="12" t="s">
        <v>148</v>
      </c>
      <c r="G7" s="12" t="s">
        <v>149</v>
      </c>
      <c r="H7" s="12" t="s">
        <v>150</v>
      </c>
      <c r="I7" s="12" t="s">
        <v>151</v>
      </c>
      <c r="J7" s="12" t="s">
        <v>152</v>
      </c>
      <c r="K7" s="12" t="s">
        <v>153</v>
      </c>
      <c r="L7" s="12" t="s">
        <v>154</v>
      </c>
      <c r="M7" s="12" t="s">
        <v>155</v>
      </c>
      <c r="N7" s="12" t="s">
        <v>156</v>
      </c>
      <c r="O7" s="12" t="s">
        <v>157</v>
      </c>
      <c r="P7" s="12" t="s">
        <v>158</v>
      </c>
      <c r="Q7" s="12" t="s">
        <v>159</v>
      </c>
      <c r="R7" s="12" t="s">
        <v>160</v>
      </c>
      <c r="S7" s="12" t="s">
        <v>161</v>
      </c>
      <c r="T7" s="13" t="n">
        <v>5</v>
      </c>
      <c r="U7" s="13" t="n">
        <v>6</v>
      </c>
      <c r="V7" s="13" t="n">
        <v>4</v>
      </c>
      <c r="W7" s="13" t="n">
        <v>3</v>
      </c>
      <c r="X7" s="13" t="n">
        <v>6</v>
      </c>
      <c r="Y7" s="13" t="n">
        <v>6</v>
      </c>
      <c r="Z7" s="13" t="n">
        <v>8</v>
      </c>
      <c r="AA7" s="13" t="n">
        <v>9</v>
      </c>
      <c r="AB7" s="13" t="n">
        <v>8</v>
      </c>
      <c r="AC7" s="13" t="n">
        <v>3</v>
      </c>
      <c r="AD7" s="13" t="n">
        <v>9</v>
      </c>
      <c r="AE7" s="13" t="n">
        <v>4</v>
      </c>
      <c r="AF7" s="13" t="n">
        <v>9</v>
      </c>
      <c r="AG7" s="13" t="n">
        <v>3</v>
      </c>
      <c r="AH7" s="14" t="n">
        <f aca="false">IFERROR(AVERAGE(T7:X7),"")</f>
        <v>4.8</v>
      </c>
      <c r="AI7" s="14" t="n">
        <f aca="false">IFERROR(AVERAGE(Y7:AC7),"")</f>
        <v>6.8</v>
      </c>
      <c r="AJ7" s="14" t="n">
        <f aca="false">IFERROR(AVERAGE(AD7:AG7),"")</f>
        <v>6.25</v>
      </c>
      <c r="AK7" s="15" t="n">
        <f aca="false">IFERROR(AH7*Config!$B$4+AI7*Config!$B$5+AJ7*Config!$B$6,"")</f>
        <v>6.035</v>
      </c>
      <c r="AL7" s="16" t="str">
        <f aca="false">IF(AK7="","",IF(UPPER(C7)="NO POSITION",IF(AK7&gt;=Config!$B$7,"BUY","NO ACTION"),IF(AK7&gt;=Config!$B$7,"BUY (add)",IF(AK7&lt;Config!$B$8,"SELL","HOLD"))))</f>
        <v>NO ACTION</v>
      </c>
      <c r="AM7" s="17" t="s">
        <v>162</v>
      </c>
      <c r="AN7" s="17" t="s">
        <v>163</v>
      </c>
      <c r="AO7" s="17" t="s">
        <v>164</v>
      </c>
    </row>
    <row r="8" customFormat="false" ht="60" hidden="false" customHeight="true" outlineLevel="0" collapsed="false">
      <c r="A8" s="11" t="s">
        <v>165</v>
      </c>
      <c r="B8" s="12" t="s">
        <v>166</v>
      </c>
      <c r="C8" s="12" t="s">
        <v>70</v>
      </c>
      <c r="D8" s="12" t="s">
        <v>71</v>
      </c>
      <c r="E8" s="12"/>
      <c r="F8" s="12" t="s">
        <v>167</v>
      </c>
      <c r="G8" s="12" t="s">
        <v>168</v>
      </c>
      <c r="H8" s="12" t="s">
        <v>169</v>
      </c>
      <c r="I8" s="12" t="s">
        <v>170</v>
      </c>
      <c r="J8" s="12" t="s">
        <v>171</v>
      </c>
      <c r="K8" s="12" t="s">
        <v>172</v>
      </c>
      <c r="L8" s="12" t="s">
        <v>173</v>
      </c>
      <c r="M8" s="12" t="s">
        <v>174</v>
      </c>
      <c r="N8" s="12" t="s">
        <v>175</v>
      </c>
      <c r="O8" s="12" t="s">
        <v>176</v>
      </c>
      <c r="P8" s="12" t="s">
        <v>177</v>
      </c>
      <c r="Q8" s="12" t="s">
        <v>178</v>
      </c>
      <c r="R8" s="12" t="s">
        <v>179</v>
      </c>
      <c r="S8" s="12" t="s">
        <v>180</v>
      </c>
      <c r="T8" s="13" t="n">
        <v>9</v>
      </c>
      <c r="U8" s="13" t="n">
        <v>4</v>
      </c>
      <c r="V8" s="13" t="n">
        <v>8</v>
      </c>
      <c r="W8" s="13" t="n">
        <v>8</v>
      </c>
      <c r="X8" s="13" t="n">
        <v>7</v>
      </c>
      <c r="Y8" s="13" t="n">
        <v>5</v>
      </c>
      <c r="Z8" s="13" t="n">
        <v>9</v>
      </c>
      <c r="AA8" s="13" t="n">
        <v>9</v>
      </c>
      <c r="AB8" s="13" t="n">
        <v>9</v>
      </c>
      <c r="AC8" s="13" t="n">
        <v>10</v>
      </c>
      <c r="AD8" s="13" t="n">
        <v>9</v>
      </c>
      <c r="AE8" s="13" t="n">
        <v>9</v>
      </c>
      <c r="AF8" s="13" t="n">
        <v>9</v>
      </c>
      <c r="AG8" s="13" t="n">
        <v>9</v>
      </c>
      <c r="AH8" s="14" t="n">
        <f aca="false">IFERROR(AVERAGE(T8:X8),"")</f>
        <v>7.2</v>
      </c>
      <c r="AI8" s="14" t="n">
        <f aca="false">IFERROR(AVERAGE(Y8:AC8),"")</f>
        <v>8.4</v>
      </c>
      <c r="AJ8" s="14" t="n">
        <f aca="false">IFERROR(AVERAGE(AD8:AG8),"")</f>
        <v>9</v>
      </c>
      <c r="AK8" s="15" t="n">
        <f aca="false">IFERROR(AH8*Config!$B$4+AI8*Config!$B$5+AJ8*Config!$B$6,"")</f>
        <v>8.22</v>
      </c>
      <c r="AL8" s="16" t="str">
        <f aca="false">IF(AK8="","",IF(UPPER(C8)="NO POSITION",IF(AK8&gt;=Config!$B$7,"BUY","NO ACTION"),IF(AK8&gt;=Config!$B$7,"BUY (add)",IF(AK8&lt;Config!$B$8,"SELL","HOLD"))))</f>
        <v>BUY</v>
      </c>
      <c r="AM8" s="17" t="s">
        <v>181</v>
      </c>
      <c r="AN8" s="17" t="s">
        <v>182</v>
      </c>
      <c r="AO8" s="17" t="s">
        <v>183</v>
      </c>
    </row>
    <row r="9" customFormat="false" ht="60" hidden="false" customHeight="true" outlineLevel="0" collapsed="false">
      <c r="A9" s="11" t="s">
        <v>184</v>
      </c>
      <c r="B9" s="12" t="s">
        <v>185</v>
      </c>
      <c r="C9" s="12" t="s">
        <v>70</v>
      </c>
      <c r="D9" s="12" t="s">
        <v>71</v>
      </c>
      <c r="E9" s="12"/>
      <c r="F9" s="12" t="s">
        <v>186</v>
      </c>
      <c r="G9" s="12" t="s">
        <v>187</v>
      </c>
      <c r="H9" s="12" t="s">
        <v>188</v>
      </c>
      <c r="I9" s="12" t="s">
        <v>189</v>
      </c>
      <c r="J9" s="12" t="s">
        <v>190</v>
      </c>
      <c r="K9" s="12" t="s">
        <v>191</v>
      </c>
      <c r="L9" s="12" t="s">
        <v>192</v>
      </c>
      <c r="M9" s="12" t="s">
        <v>193</v>
      </c>
      <c r="N9" s="12" t="s">
        <v>194</v>
      </c>
      <c r="O9" s="12" t="s">
        <v>195</v>
      </c>
      <c r="P9" s="12" t="s">
        <v>196</v>
      </c>
      <c r="Q9" s="12" t="s">
        <v>197</v>
      </c>
      <c r="R9" s="12" t="s">
        <v>198</v>
      </c>
      <c r="S9" s="12" t="s">
        <v>199</v>
      </c>
      <c r="T9" s="13" t="n">
        <v>8</v>
      </c>
      <c r="U9" s="13" t="n">
        <v>6</v>
      </c>
      <c r="V9" s="13" t="n">
        <v>7</v>
      </c>
      <c r="W9" s="13" t="n">
        <v>6</v>
      </c>
      <c r="X9" s="13" t="n">
        <v>5</v>
      </c>
      <c r="Y9" s="13" t="n">
        <v>3</v>
      </c>
      <c r="Z9" s="13" t="n">
        <v>10</v>
      </c>
      <c r="AA9" s="13" t="n">
        <v>4</v>
      </c>
      <c r="AB9" s="13" t="n">
        <v>8</v>
      </c>
      <c r="AC9" s="13" t="n">
        <v>2</v>
      </c>
      <c r="AD9" s="13" t="n">
        <v>9</v>
      </c>
      <c r="AE9" s="13" t="n">
        <v>8</v>
      </c>
      <c r="AF9" s="13" t="n">
        <v>3</v>
      </c>
      <c r="AG9" s="13" t="n">
        <v>3</v>
      </c>
      <c r="AH9" s="14" t="n">
        <f aca="false">IFERROR(AVERAGE(T9:X9),"")</f>
        <v>6.4</v>
      </c>
      <c r="AI9" s="14" t="n">
        <f aca="false">IFERROR(AVERAGE(Y9:AC9),"")</f>
        <v>5.4</v>
      </c>
      <c r="AJ9" s="14" t="n">
        <f aca="false">IFERROR(AVERAGE(AD9:AG9),"")</f>
        <v>5.75</v>
      </c>
      <c r="AK9" s="15" t="n">
        <f aca="false">IFERROR(AH9*Config!$B$4+AI9*Config!$B$5+AJ9*Config!$B$6,"")</f>
        <v>5.805</v>
      </c>
      <c r="AL9" s="16" t="str">
        <f aca="false">IF(AK9="","",IF(UPPER(C9)="NO POSITION",IF(AK9&gt;=Config!$B$7,"BUY","NO ACTION"),IF(AK9&gt;=Config!$B$7,"BUY (add)",IF(AK9&lt;Config!$B$8,"SELL","HOLD"))))</f>
        <v>NO ACTION</v>
      </c>
      <c r="AM9" s="17" t="s">
        <v>200</v>
      </c>
      <c r="AN9" s="17" t="s">
        <v>201</v>
      </c>
      <c r="AO9" s="17" t="s">
        <v>202</v>
      </c>
    </row>
    <row r="10" customFormat="false" ht="60" hidden="false" customHeight="true" outlineLevel="0" collapsed="false">
      <c r="A10" s="11" t="s">
        <v>203</v>
      </c>
      <c r="B10" s="12" t="s">
        <v>204</v>
      </c>
      <c r="C10" s="12" t="s">
        <v>70</v>
      </c>
      <c r="D10" s="12" t="s">
        <v>71</v>
      </c>
      <c r="E10" s="12"/>
      <c r="F10" s="12" t="s">
        <v>205</v>
      </c>
      <c r="G10" s="12" t="s">
        <v>206</v>
      </c>
      <c r="H10" s="12" t="s">
        <v>207</v>
      </c>
      <c r="I10" s="12" t="s">
        <v>208</v>
      </c>
      <c r="J10" s="12" t="s">
        <v>209</v>
      </c>
      <c r="K10" s="12" t="s">
        <v>210</v>
      </c>
      <c r="L10" s="12" t="s">
        <v>211</v>
      </c>
      <c r="M10" s="12" t="s">
        <v>212</v>
      </c>
      <c r="N10" s="12" t="s">
        <v>213</v>
      </c>
      <c r="O10" s="12" t="s">
        <v>214</v>
      </c>
      <c r="P10" s="12" t="s">
        <v>215</v>
      </c>
      <c r="Q10" s="12" t="s">
        <v>216</v>
      </c>
      <c r="R10" s="12" t="s">
        <v>217</v>
      </c>
      <c r="S10" s="12" t="s">
        <v>218</v>
      </c>
      <c r="T10" s="13" t="n">
        <v>3</v>
      </c>
      <c r="U10" s="13" t="n">
        <v>5</v>
      </c>
      <c r="V10" s="13" t="n">
        <v>3</v>
      </c>
      <c r="W10" s="13" t="n">
        <v>4</v>
      </c>
      <c r="X10" s="13" t="n">
        <v>5</v>
      </c>
      <c r="Y10" s="13" t="n">
        <v>5</v>
      </c>
      <c r="Z10" s="13" t="n">
        <v>10</v>
      </c>
      <c r="AA10" s="13" t="n">
        <v>9</v>
      </c>
      <c r="AB10" s="13" t="n">
        <v>6</v>
      </c>
      <c r="AC10" s="13" t="n">
        <v>10</v>
      </c>
      <c r="AD10" s="13" t="n">
        <v>9</v>
      </c>
      <c r="AE10" s="13" t="n">
        <v>6</v>
      </c>
      <c r="AF10" s="13" t="n">
        <v>9</v>
      </c>
      <c r="AG10" s="13" t="n">
        <v>2</v>
      </c>
      <c r="AH10" s="14" t="n">
        <f aca="false">IFERROR(AVERAGE(T10:X10),"")</f>
        <v>4</v>
      </c>
      <c r="AI10" s="14" t="n">
        <f aca="false">IFERROR(AVERAGE(Y10:AC10),"")</f>
        <v>8</v>
      </c>
      <c r="AJ10" s="14" t="n">
        <f aca="false">IFERROR(AVERAGE(AD10:AG10),"")</f>
        <v>6.5</v>
      </c>
      <c r="AK10" s="15" t="n">
        <f aca="false">IFERROR(AH10*Config!$B$4+AI10*Config!$B$5+AJ10*Config!$B$6,"")</f>
        <v>6.35</v>
      </c>
      <c r="AL10" s="16" t="str">
        <f aca="false">IF(AK10="","",IF(UPPER(C10)="NO POSITION",IF(AK10&gt;=Config!$B$7,"BUY","NO ACTION"),IF(AK10&gt;=Config!$B$7,"BUY (add)",IF(AK10&lt;Config!$B$8,"SELL","HOLD"))))</f>
        <v>NO ACTION</v>
      </c>
      <c r="AM10" s="17" t="s">
        <v>219</v>
      </c>
      <c r="AN10" s="17" t="s">
        <v>220</v>
      </c>
      <c r="AO10" s="17" t="s">
        <v>221</v>
      </c>
    </row>
    <row r="11" customFormat="false" ht="60" hidden="false" customHeight="true" outlineLevel="0" collapsed="false">
      <c r="A11" s="11" t="s">
        <v>222</v>
      </c>
      <c r="B11" s="12" t="s">
        <v>223</v>
      </c>
      <c r="C11" s="12" t="s">
        <v>70</v>
      </c>
      <c r="D11" s="12" t="s">
        <v>71</v>
      </c>
      <c r="E11" s="12"/>
      <c r="F11" s="12" t="s">
        <v>224</v>
      </c>
      <c r="G11" s="12" t="s">
        <v>225</v>
      </c>
      <c r="H11" s="12" t="s">
        <v>226</v>
      </c>
      <c r="I11" s="12" t="s">
        <v>227</v>
      </c>
      <c r="J11" s="12" t="s">
        <v>228</v>
      </c>
      <c r="K11" s="12" t="s">
        <v>229</v>
      </c>
      <c r="L11" s="12" t="s">
        <v>230</v>
      </c>
      <c r="M11" s="12" t="s">
        <v>231</v>
      </c>
      <c r="N11" s="12" t="s">
        <v>232</v>
      </c>
      <c r="O11" s="12" t="s">
        <v>233</v>
      </c>
      <c r="P11" s="12" t="s">
        <v>234</v>
      </c>
      <c r="Q11" s="12" t="s">
        <v>235</v>
      </c>
      <c r="R11" s="12" t="s">
        <v>236</v>
      </c>
      <c r="S11" s="12" t="s">
        <v>237</v>
      </c>
      <c r="T11" s="13" t="n">
        <v>9</v>
      </c>
      <c r="U11" s="13" t="n">
        <v>7</v>
      </c>
      <c r="V11" s="13" t="n">
        <v>9</v>
      </c>
      <c r="W11" s="13" t="n">
        <v>4</v>
      </c>
      <c r="X11" s="13" t="n">
        <v>5</v>
      </c>
      <c r="Y11" s="13" t="n">
        <v>5</v>
      </c>
      <c r="Z11" s="13" t="n">
        <v>9</v>
      </c>
      <c r="AA11" s="13" t="n">
        <v>6</v>
      </c>
      <c r="AB11" s="13" t="n">
        <v>8</v>
      </c>
      <c r="AC11" s="13" t="n">
        <v>3</v>
      </c>
      <c r="AD11" s="13" t="n">
        <v>9</v>
      </c>
      <c r="AE11" s="13" t="n">
        <v>7</v>
      </c>
      <c r="AF11" s="13" t="n">
        <v>9</v>
      </c>
      <c r="AG11" s="13" t="n">
        <v>3</v>
      </c>
      <c r="AH11" s="14" t="n">
        <f aca="false">IFERROR(AVERAGE(T11:X11),"")</f>
        <v>6.8</v>
      </c>
      <c r="AI11" s="14" t="n">
        <f aca="false">IFERROR(AVERAGE(Y11:AC11),"")</f>
        <v>6.2</v>
      </c>
      <c r="AJ11" s="14" t="n">
        <f aca="false">IFERROR(AVERAGE(AD11:AG11),"")</f>
        <v>7</v>
      </c>
      <c r="AK11" s="15" t="n">
        <f aca="false">IFERROR(AH11*Config!$B$4+AI11*Config!$B$5+AJ11*Config!$B$6,"")</f>
        <v>6.62</v>
      </c>
      <c r="AL11" s="16" t="str">
        <f aca="false">IF(AK11="","",IF(UPPER(C11)="NO POSITION",IF(AK11&gt;=Config!$B$7,"BUY","NO ACTION"),IF(AK11&gt;=Config!$B$7,"BUY (add)",IF(AK11&lt;Config!$B$8,"SELL","HOLD"))))</f>
        <v>NO ACTION</v>
      </c>
      <c r="AM11" s="17" t="s">
        <v>238</v>
      </c>
      <c r="AN11" s="17" t="s">
        <v>239</v>
      </c>
      <c r="AO11" s="17" t="s">
        <v>240</v>
      </c>
    </row>
    <row r="12" customFormat="false" ht="60" hidden="false" customHeight="true" outlineLevel="0" collapsed="false">
      <c r="A12" s="11" t="s">
        <v>241</v>
      </c>
      <c r="B12" s="12" t="s">
        <v>242</v>
      </c>
      <c r="C12" s="12" t="s">
        <v>70</v>
      </c>
      <c r="D12" s="12" t="s">
        <v>71</v>
      </c>
      <c r="E12" s="12"/>
      <c r="F12" s="12" t="s">
        <v>243</v>
      </c>
      <c r="G12" s="12" t="s">
        <v>244</v>
      </c>
      <c r="H12" s="12" t="s">
        <v>245</v>
      </c>
      <c r="I12" s="12" t="s">
        <v>246</v>
      </c>
      <c r="J12" s="12" t="s">
        <v>247</v>
      </c>
      <c r="K12" s="12" t="s">
        <v>248</v>
      </c>
      <c r="L12" s="12" t="s">
        <v>249</v>
      </c>
      <c r="M12" s="12" t="s">
        <v>250</v>
      </c>
      <c r="N12" s="12" t="s">
        <v>251</v>
      </c>
      <c r="O12" s="12" t="s">
        <v>252</v>
      </c>
      <c r="P12" s="12" t="s">
        <v>253</v>
      </c>
      <c r="Q12" s="12" t="s">
        <v>254</v>
      </c>
      <c r="R12" s="12" t="s">
        <v>255</v>
      </c>
      <c r="S12" s="12" t="s">
        <v>256</v>
      </c>
      <c r="T12" s="13" t="n">
        <v>6</v>
      </c>
      <c r="U12" s="13" t="n">
        <v>5</v>
      </c>
      <c r="V12" s="13" t="n">
        <v>3</v>
      </c>
      <c r="W12" s="13" t="n">
        <v>3</v>
      </c>
      <c r="X12" s="13" t="n">
        <v>5</v>
      </c>
      <c r="Y12" s="13" t="n">
        <v>2</v>
      </c>
      <c r="Z12" s="13" t="n">
        <v>6</v>
      </c>
      <c r="AA12" s="13" t="n">
        <v>5</v>
      </c>
      <c r="AB12" s="13" t="n">
        <v>9</v>
      </c>
      <c r="AC12" s="13" t="n">
        <v>3</v>
      </c>
      <c r="AD12" s="13" t="n">
        <v>7</v>
      </c>
      <c r="AE12" s="13" t="n">
        <v>4</v>
      </c>
      <c r="AF12" s="13" t="n">
        <v>8</v>
      </c>
      <c r="AG12" s="13" t="n">
        <v>3</v>
      </c>
      <c r="AH12" s="14" t="n">
        <f aca="false">IFERROR(AVERAGE(T12:X12),"")</f>
        <v>4.4</v>
      </c>
      <c r="AI12" s="14" t="n">
        <f aca="false">IFERROR(AVERAGE(Y12:AC12),"")</f>
        <v>5</v>
      </c>
      <c r="AJ12" s="14" t="n">
        <f aca="false">IFERROR(AVERAGE(AD12:AG12),"")</f>
        <v>5.5</v>
      </c>
      <c r="AK12" s="15" t="n">
        <f aca="false">IFERROR(AH12*Config!$B$4+AI12*Config!$B$5+AJ12*Config!$B$6,"")</f>
        <v>4.97</v>
      </c>
      <c r="AL12" s="16" t="str">
        <f aca="false">IF(AK12="","",IF(UPPER(C12)="NO POSITION",IF(AK12&gt;=Config!$B$7,"BUY","NO ACTION"),IF(AK12&gt;=Config!$B$7,"BUY (add)",IF(AK12&lt;Config!$B$8,"SELL","HOLD"))))</f>
        <v>NO ACTION</v>
      </c>
      <c r="AM12" s="17" t="s">
        <v>257</v>
      </c>
      <c r="AN12" s="17" t="s">
        <v>258</v>
      </c>
      <c r="AO12" s="17" t="s">
        <v>259</v>
      </c>
    </row>
  </sheetData>
  <mergeCells count="9">
    <mergeCell ref="A1:E1"/>
    <mergeCell ref="F1:J1"/>
    <mergeCell ref="K1:O1"/>
    <mergeCell ref="P1:S1"/>
    <mergeCell ref="T1:X1"/>
    <mergeCell ref="Y1:AC1"/>
    <mergeCell ref="AD1:AG1"/>
    <mergeCell ref="AH1:AL1"/>
    <mergeCell ref="AM1:AO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4" min="3" style="0" width="30"/>
    <col collapsed="false" customWidth="true" hidden="false" outlineLevel="0" max="5" min="5" style="0" width="60"/>
    <col collapsed="false" customWidth="true" hidden="false" outlineLevel="0" max="6" min="6" style="0" width="22"/>
  </cols>
  <sheetData>
    <row r="1" customFormat="false" ht="15" hidden="false" customHeight="false" outlineLevel="0" collapsed="false">
      <c r="A1" s="18" t="s">
        <v>27</v>
      </c>
      <c r="B1" s="18" t="s">
        <v>260</v>
      </c>
      <c r="C1" s="18" t="s">
        <v>1</v>
      </c>
      <c r="D1" s="18" t="s">
        <v>261</v>
      </c>
      <c r="E1" s="18" t="s">
        <v>262</v>
      </c>
      <c r="F1" s="18" t="s">
        <v>263</v>
      </c>
    </row>
    <row r="2" customFormat="false" ht="15" hidden="false" customHeight="false" outlineLevel="0" collapsed="false">
      <c r="A2" s="12" t="s">
        <v>68</v>
      </c>
      <c r="B2" s="12" t="s">
        <v>264</v>
      </c>
      <c r="C2" s="12" t="s">
        <v>265</v>
      </c>
      <c r="D2" s="12" t="s">
        <v>266</v>
      </c>
      <c r="E2" s="12" t="s">
        <v>267</v>
      </c>
      <c r="F2" s="12" t="s">
        <v>268</v>
      </c>
    </row>
    <row r="3" customFormat="false" ht="15" hidden="false" customHeight="false" outlineLevel="0" collapsed="false">
      <c r="A3" s="12" t="s">
        <v>68</v>
      </c>
      <c r="B3" s="12" t="s">
        <v>264</v>
      </c>
      <c r="C3" s="12" t="s">
        <v>269</v>
      </c>
      <c r="D3" s="12" t="s">
        <v>266</v>
      </c>
      <c r="E3" s="12" t="s">
        <v>267</v>
      </c>
      <c r="F3" s="12" t="s">
        <v>268</v>
      </c>
    </row>
    <row r="4" customFormat="false" ht="15" hidden="false" customHeight="false" outlineLevel="0" collapsed="false">
      <c r="A4" s="12" t="s">
        <v>68</v>
      </c>
      <c r="B4" s="12" t="s">
        <v>264</v>
      </c>
      <c r="C4" s="12" t="s">
        <v>270</v>
      </c>
      <c r="D4" s="12" t="s">
        <v>266</v>
      </c>
      <c r="E4" s="12" t="s">
        <v>267</v>
      </c>
      <c r="F4" s="12" t="s">
        <v>268</v>
      </c>
    </row>
    <row r="5" customFormat="false" ht="15" hidden="false" customHeight="false" outlineLevel="0" collapsed="false">
      <c r="A5" s="12" t="s">
        <v>68</v>
      </c>
      <c r="B5" s="12" t="s">
        <v>264</v>
      </c>
      <c r="C5" s="12" t="s">
        <v>271</v>
      </c>
      <c r="D5" s="12" t="s">
        <v>272</v>
      </c>
      <c r="E5" s="12" t="s">
        <v>273</v>
      </c>
      <c r="F5" s="12" t="s">
        <v>268</v>
      </c>
    </row>
    <row r="6" customFormat="false" ht="15" hidden="false" customHeight="false" outlineLevel="0" collapsed="false">
      <c r="A6" s="12" t="s">
        <v>68</v>
      </c>
      <c r="B6" s="12" t="s">
        <v>264</v>
      </c>
      <c r="C6" s="12" t="s">
        <v>274</v>
      </c>
      <c r="D6" s="12" t="s">
        <v>275</v>
      </c>
      <c r="E6" s="12" t="s">
        <v>276</v>
      </c>
      <c r="F6" s="12" t="s">
        <v>268</v>
      </c>
    </row>
    <row r="7" customFormat="false" ht="15" hidden="false" customHeight="false" outlineLevel="0" collapsed="false">
      <c r="A7" s="12" t="s">
        <v>68</v>
      </c>
      <c r="B7" s="12" t="s">
        <v>277</v>
      </c>
      <c r="C7" s="12" t="s">
        <v>278</v>
      </c>
      <c r="D7" s="12" t="s">
        <v>279</v>
      </c>
      <c r="E7" s="12" t="s">
        <v>280</v>
      </c>
      <c r="F7" s="12" t="s">
        <v>71</v>
      </c>
    </row>
    <row r="8" customFormat="false" ht="15" hidden="false" customHeight="false" outlineLevel="0" collapsed="false">
      <c r="A8" s="12" t="s">
        <v>68</v>
      </c>
      <c r="B8" s="12" t="s">
        <v>277</v>
      </c>
      <c r="C8" s="12" t="s">
        <v>281</v>
      </c>
      <c r="D8" s="12" t="s">
        <v>282</v>
      </c>
      <c r="E8" s="12" t="s">
        <v>283</v>
      </c>
      <c r="F8" s="12" t="s">
        <v>284</v>
      </c>
    </row>
    <row r="9" customFormat="false" ht="15" hidden="false" customHeight="false" outlineLevel="0" collapsed="false">
      <c r="A9" s="12" t="s">
        <v>68</v>
      </c>
      <c r="B9" s="12" t="s">
        <v>277</v>
      </c>
      <c r="C9" s="12" t="s">
        <v>285</v>
      </c>
      <c r="D9" s="12" t="s">
        <v>282</v>
      </c>
      <c r="E9" s="12" t="s">
        <v>283</v>
      </c>
      <c r="F9" s="12" t="s">
        <v>284</v>
      </c>
    </row>
    <row r="10" customFormat="false" ht="15" hidden="false" customHeight="false" outlineLevel="0" collapsed="false">
      <c r="A10" s="12" t="s">
        <v>68</v>
      </c>
      <c r="B10" s="12" t="s">
        <v>277</v>
      </c>
      <c r="C10" s="12" t="s">
        <v>286</v>
      </c>
      <c r="D10" s="12" t="s">
        <v>287</v>
      </c>
      <c r="E10" s="12" t="s">
        <v>288</v>
      </c>
      <c r="F10" s="12" t="s">
        <v>268</v>
      </c>
    </row>
    <row r="11" customFormat="false" ht="15" hidden="false" customHeight="false" outlineLevel="0" collapsed="false">
      <c r="A11" s="12" t="s">
        <v>68</v>
      </c>
      <c r="B11" s="12" t="s">
        <v>277</v>
      </c>
      <c r="C11" s="12" t="s">
        <v>289</v>
      </c>
      <c r="D11" s="12" t="s">
        <v>290</v>
      </c>
      <c r="E11" s="12" t="s">
        <v>291</v>
      </c>
      <c r="F11" s="12" t="s">
        <v>284</v>
      </c>
    </row>
    <row r="12" customFormat="false" ht="15" hidden="false" customHeight="false" outlineLevel="0" collapsed="false">
      <c r="A12" s="12" t="s">
        <v>68</v>
      </c>
      <c r="B12" s="12" t="s">
        <v>292</v>
      </c>
      <c r="C12" s="12" t="s">
        <v>293</v>
      </c>
      <c r="D12" s="12" t="s">
        <v>294</v>
      </c>
      <c r="E12" s="12" t="s">
        <v>295</v>
      </c>
      <c r="F12" s="12" t="s">
        <v>268</v>
      </c>
    </row>
    <row r="13" customFormat="false" ht="15" hidden="false" customHeight="false" outlineLevel="0" collapsed="false">
      <c r="A13" s="12" t="s">
        <v>68</v>
      </c>
      <c r="B13" s="12" t="s">
        <v>292</v>
      </c>
      <c r="C13" s="12" t="s">
        <v>296</v>
      </c>
      <c r="D13" s="12" t="s">
        <v>297</v>
      </c>
      <c r="E13" s="12" t="s">
        <v>298</v>
      </c>
      <c r="F13" s="12" t="s">
        <v>299</v>
      </c>
    </row>
    <row r="14" customFormat="false" ht="15" hidden="false" customHeight="false" outlineLevel="0" collapsed="false">
      <c r="A14" s="12" t="s">
        <v>68</v>
      </c>
      <c r="B14" s="12" t="s">
        <v>292</v>
      </c>
      <c r="C14" s="12" t="s">
        <v>300</v>
      </c>
      <c r="D14" s="12" t="s">
        <v>301</v>
      </c>
      <c r="E14" s="12" t="s">
        <v>302</v>
      </c>
      <c r="F14" s="12" t="s">
        <v>71</v>
      </c>
    </row>
    <row r="15" customFormat="false" ht="15" hidden="false" customHeight="false" outlineLevel="0" collapsed="false">
      <c r="A15" s="12" t="s">
        <v>68</v>
      </c>
      <c r="B15" s="12" t="s">
        <v>292</v>
      </c>
      <c r="C15" s="12" t="s">
        <v>303</v>
      </c>
      <c r="D15" s="12" t="s">
        <v>304</v>
      </c>
      <c r="E15" s="12" t="s">
        <v>305</v>
      </c>
      <c r="F15" s="12" t="s">
        <v>306</v>
      </c>
    </row>
    <row r="16" customFormat="false" ht="15" hidden="false" customHeight="false" outlineLevel="0" collapsed="false">
      <c r="A16" s="12" t="s">
        <v>89</v>
      </c>
      <c r="B16" s="12" t="s">
        <v>264</v>
      </c>
      <c r="C16" s="12" t="s">
        <v>265</v>
      </c>
      <c r="D16" s="12" t="s">
        <v>266</v>
      </c>
      <c r="E16" s="12" t="s">
        <v>307</v>
      </c>
      <c r="F16" s="12" t="s">
        <v>268</v>
      </c>
    </row>
    <row r="17" customFormat="false" ht="15" hidden="false" customHeight="false" outlineLevel="0" collapsed="false">
      <c r="A17" s="12" t="s">
        <v>89</v>
      </c>
      <c r="B17" s="12" t="s">
        <v>264</v>
      </c>
      <c r="C17" s="12" t="s">
        <v>269</v>
      </c>
      <c r="D17" s="12" t="s">
        <v>266</v>
      </c>
      <c r="E17" s="12" t="s">
        <v>307</v>
      </c>
      <c r="F17" s="12" t="s">
        <v>268</v>
      </c>
    </row>
    <row r="18" customFormat="false" ht="15" hidden="false" customHeight="false" outlineLevel="0" collapsed="false">
      <c r="A18" s="12" t="s">
        <v>89</v>
      </c>
      <c r="B18" s="12" t="s">
        <v>264</v>
      </c>
      <c r="C18" s="12" t="s">
        <v>270</v>
      </c>
      <c r="D18" s="12" t="s">
        <v>266</v>
      </c>
      <c r="E18" s="12" t="s">
        <v>307</v>
      </c>
      <c r="F18" s="12" t="s">
        <v>268</v>
      </c>
    </row>
    <row r="19" customFormat="false" ht="15" hidden="false" customHeight="false" outlineLevel="0" collapsed="false">
      <c r="A19" s="12" t="s">
        <v>89</v>
      </c>
      <c r="B19" s="12" t="s">
        <v>264</v>
      </c>
      <c r="C19" s="12" t="s">
        <v>271</v>
      </c>
      <c r="D19" s="12" t="s">
        <v>272</v>
      </c>
      <c r="E19" s="12" t="s">
        <v>308</v>
      </c>
      <c r="F19" s="12" t="s">
        <v>268</v>
      </c>
    </row>
    <row r="20" customFormat="false" ht="15" hidden="false" customHeight="false" outlineLevel="0" collapsed="false">
      <c r="A20" s="12" t="s">
        <v>89</v>
      </c>
      <c r="B20" s="12" t="s">
        <v>264</v>
      </c>
      <c r="C20" s="12" t="s">
        <v>274</v>
      </c>
      <c r="D20" s="12" t="s">
        <v>309</v>
      </c>
      <c r="E20" s="12" t="s">
        <v>310</v>
      </c>
      <c r="F20" s="12" t="s">
        <v>268</v>
      </c>
    </row>
    <row r="21" customFormat="false" ht="15" hidden="false" customHeight="false" outlineLevel="0" collapsed="false">
      <c r="A21" s="12" t="s">
        <v>89</v>
      </c>
      <c r="B21" s="12" t="s">
        <v>277</v>
      </c>
      <c r="C21" s="12" t="s">
        <v>278</v>
      </c>
      <c r="D21" s="12" t="s">
        <v>279</v>
      </c>
      <c r="E21" s="12" t="s">
        <v>311</v>
      </c>
      <c r="F21" s="12" t="s">
        <v>312</v>
      </c>
    </row>
    <row r="22" customFormat="false" ht="15" hidden="false" customHeight="false" outlineLevel="0" collapsed="false">
      <c r="A22" s="12" t="s">
        <v>89</v>
      </c>
      <c r="B22" s="12" t="s">
        <v>277</v>
      </c>
      <c r="C22" s="12" t="s">
        <v>281</v>
      </c>
      <c r="D22" s="12" t="s">
        <v>313</v>
      </c>
      <c r="E22" s="12" t="s">
        <v>314</v>
      </c>
      <c r="F22" s="12" t="s">
        <v>315</v>
      </c>
    </row>
    <row r="23" customFormat="false" ht="15" hidden="false" customHeight="false" outlineLevel="0" collapsed="false">
      <c r="A23" s="12" t="s">
        <v>89</v>
      </c>
      <c r="B23" s="12" t="s">
        <v>277</v>
      </c>
      <c r="C23" s="12" t="s">
        <v>285</v>
      </c>
      <c r="D23" s="12" t="s">
        <v>313</v>
      </c>
      <c r="E23" s="12" t="s">
        <v>314</v>
      </c>
      <c r="F23" s="12" t="s">
        <v>315</v>
      </c>
    </row>
    <row r="24" customFormat="false" ht="15" hidden="false" customHeight="false" outlineLevel="0" collapsed="false">
      <c r="A24" s="12" t="s">
        <v>89</v>
      </c>
      <c r="B24" s="12" t="s">
        <v>277</v>
      </c>
      <c r="C24" s="12" t="s">
        <v>286</v>
      </c>
      <c r="D24" s="12" t="s">
        <v>316</v>
      </c>
      <c r="E24" s="12" t="s">
        <v>317</v>
      </c>
      <c r="F24" s="12" t="s">
        <v>268</v>
      </c>
    </row>
    <row r="25" customFormat="false" ht="15" hidden="false" customHeight="false" outlineLevel="0" collapsed="false">
      <c r="A25" s="12" t="s">
        <v>89</v>
      </c>
      <c r="B25" s="12" t="s">
        <v>277</v>
      </c>
      <c r="C25" s="12" t="s">
        <v>289</v>
      </c>
      <c r="D25" s="12" t="s">
        <v>318</v>
      </c>
      <c r="E25" s="12" t="s">
        <v>319</v>
      </c>
      <c r="F25" s="12" t="s">
        <v>315</v>
      </c>
    </row>
    <row r="26" customFormat="false" ht="15" hidden="false" customHeight="false" outlineLevel="0" collapsed="false">
      <c r="A26" s="12" t="s">
        <v>89</v>
      </c>
      <c r="B26" s="12" t="s">
        <v>292</v>
      </c>
      <c r="C26" s="12" t="s">
        <v>293</v>
      </c>
      <c r="D26" s="12" t="s">
        <v>294</v>
      </c>
      <c r="E26" s="12" t="s">
        <v>320</v>
      </c>
      <c r="F26" s="12" t="s">
        <v>268</v>
      </c>
    </row>
    <row r="27" customFormat="false" ht="15" hidden="false" customHeight="false" outlineLevel="0" collapsed="false">
      <c r="A27" s="12" t="s">
        <v>89</v>
      </c>
      <c r="B27" s="12" t="s">
        <v>292</v>
      </c>
      <c r="C27" s="12" t="s">
        <v>296</v>
      </c>
      <c r="D27" s="12" t="s">
        <v>321</v>
      </c>
      <c r="E27" s="12" t="s">
        <v>322</v>
      </c>
      <c r="F27" s="12" t="s">
        <v>323</v>
      </c>
    </row>
    <row r="28" customFormat="false" ht="15" hidden="false" customHeight="false" outlineLevel="0" collapsed="false">
      <c r="A28" s="12" t="s">
        <v>89</v>
      </c>
      <c r="B28" s="12" t="s">
        <v>292</v>
      </c>
      <c r="C28" s="12" t="s">
        <v>300</v>
      </c>
      <c r="D28" s="12" t="s">
        <v>301</v>
      </c>
      <c r="E28" s="12" t="s">
        <v>324</v>
      </c>
      <c r="F28" s="12" t="s">
        <v>268</v>
      </c>
    </row>
    <row r="29" customFormat="false" ht="15" hidden="false" customHeight="false" outlineLevel="0" collapsed="false">
      <c r="A29" s="12" t="s">
        <v>89</v>
      </c>
      <c r="B29" s="12" t="s">
        <v>292</v>
      </c>
      <c r="C29" s="12" t="s">
        <v>303</v>
      </c>
      <c r="D29" s="12" t="s">
        <v>304</v>
      </c>
      <c r="E29" s="12" t="s">
        <v>325</v>
      </c>
      <c r="F29" s="12" t="s">
        <v>326</v>
      </c>
    </row>
    <row r="30" customFormat="false" ht="15" hidden="false" customHeight="false" outlineLevel="0" collapsed="false">
      <c r="A30" s="12" t="s">
        <v>108</v>
      </c>
      <c r="B30" s="12" t="s">
        <v>264</v>
      </c>
      <c r="C30" s="12" t="s">
        <v>265</v>
      </c>
      <c r="D30" s="12" t="s">
        <v>266</v>
      </c>
      <c r="E30" s="12" t="s">
        <v>327</v>
      </c>
      <c r="F30" s="12" t="s">
        <v>268</v>
      </c>
    </row>
    <row r="31" customFormat="false" ht="15" hidden="false" customHeight="false" outlineLevel="0" collapsed="false">
      <c r="A31" s="12" t="s">
        <v>108</v>
      </c>
      <c r="B31" s="12" t="s">
        <v>264</v>
      </c>
      <c r="C31" s="12" t="s">
        <v>269</v>
      </c>
      <c r="D31" s="12" t="s">
        <v>266</v>
      </c>
      <c r="E31" s="12" t="s">
        <v>327</v>
      </c>
      <c r="F31" s="12" t="s">
        <v>268</v>
      </c>
    </row>
    <row r="32" customFormat="false" ht="15" hidden="false" customHeight="false" outlineLevel="0" collapsed="false">
      <c r="A32" s="12" t="s">
        <v>108</v>
      </c>
      <c r="B32" s="12" t="s">
        <v>264</v>
      </c>
      <c r="C32" s="12" t="s">
        <v>270</v>
      </c>
      <c r="D32" s="12" t="s">
        <v>266</v>
      </c>
      <c r="E32" s="12" t="s">
        <v>327</v>
      </c>
      <c r="F32" s="12" t="s">
        <v>268</v>
      </c>
    </row>
    <row r="33" customFormat="false" ht="15" hidden="false" customHeight="false" outlineLevel="0" collapsed="false">
      <c r="A33" s="12" t="s">
        <v>108</v>
      </c>
      <c r="B33" s="12" t="s">
        <v>264</v>
      </c>
      <c r="C33" s="12" t="s">
        <v>271</v>
      </c>
      <c r="D33" s="12" t="s">
        <v>272</v>
      </c>
      <c r="E33" s="12" t="s">
        <v>328</v>
      </c>
      <c r="F33" s="12" t="s">
        <v>268</v>
      </c>
    </row>
    <row r="34" customFormat="false" ht="15" hidden="false" customHeight="false" outlineLevel="0" collapsed="false">
      <c r="A34" s="12" t="s">
        <v>108</v>
      </c>
      <c r="B34" s="12" t="s">
        <v>264</v>
      </c>
      <c r="C34" s="12" t="s">
        <v>274</v>
      </c>
      <c r="D34" s="12" t="s">
        <v>275</v>
      </c>
      <c r="E34" s="12" t="s">
        <v>329</v>
      </c>
      <c r="F34" s="12" t="s">
        <v>268</v>
      </c>
    </row>
    <row r="35" customFormat="false" ht="15" hidden="false" customHeight="false" outlineLevel="0" collapsed="false">
      <c r="A35" s="12" t="s">
        <v>108</v>
      </c>
      <c r="B35" s="12" t="s">
        <v>277</v>
      </c>
      <c r="C35" s="12" t="s">
        <v>278</v>
      </c>
      <c r="D35" s="12" t="s">
        <v>279</v>
      </c>
      <c r="E35" s="12" t="s">
        <v>330</v>
      </c>
      <c r="F35" s="12" t="s">
        <v>312</v>
      </c>
    </row>
    <row r="36" customFormat="false" ht="15" hidden="false" customHeight="false" outlineLevel="0" collapsed="false">
      <c r="A36" s="12" t="s">
        <v>108</v>
      </c>
      <c r="B36" s="12" t="s">
        <v>277</v>
      </c>
      <c r="C36" s="12" t="s">
        <v>281</v>
      </c>
      <c r="D36" s="12" t="s">
        <v>331</v>
      </c>
      <c r="E36" s="12" t="s">
        <v>332</v>
      </c>
      <c r="F36" s="12" t="s">
        <v>333</v>
      </c>
    </row>
    <row r="37" customFormat="false" ht="15" hidden="false" customHeight="false" outlineLevel="0" collapsed="false">
      <c r="A37" s="12" t="s">
        <v>108</v>
      </c>
      <c r="B37" s="12" t="s">
        <v>277</v>
      </c>
      <c r="C37" s="12" t="s">
        <v>285</v>
      </c>
      <c r="D37" s="12" t="s">
        <v>331</v>
      </c>
      <c r="E37" s="12" t="s">
        <v>332</v>
      </c>
      <c r="F37" s="12" t="s">
        <v>333</v>
      </c>
    </row>
    <row r="38" customFormat="false" ht="15" hidden="false" customHeight="false" outlineLevel="0" collapsed="false">
      <c r="A38" s="12" t="s">
        <v>108</v>
      </c>
      <c r="B38" s="12" t="s">
        <v>277</v>
      </c>
      <c r="C38" s="12" t="s">
        <v>286</v>
      </c>
      <c r="D38" s="12" t="s">
        <v>334</v>
      </c>
      <c r="E38" s="12" t="s">
        <v>335</v>
      </c>
      <c r="F38" s="12" t="s">
        <v>268</v>
      </c>
    </row>
    <row r="39" customFormat="false" ht="15" hidden="false" customHeight="false" outlineLevel="0" collapsed="false">
      <c r="A39" s="12" t="s">
        <v>108</v>
      </c>
      <c r="B39" s="12" t="s">
        <v>277</v>
      </c>
      <c r="C39" s="12" t="s">
        <v>289</v>
      </c>
      <c r="D39" s="12" t="s">
        <v>336</v>
      </c>
      <c r="E39" s="12" t="s">
        <v>337</v>
      </c>
      <c r="F39" s="12" t="s">
        <v>333</v>
      </c>
    </row>
    <row r="40" customFormat="false" ht="15" hidden="false" customHeight="false" outlineLevel="0" collapsed="false">
      <c r="A40" s="12" t="s">
        <v>108</v>
      </c>
      <c r="B40" s="12" t="s">
        <v>292</v>
      </c>
      <c r="C40" s="12" t="s">
        <v>293</v>
      </c>
      <c r="D40" s="12" t="s">
        <v>294</v>
      </c>
      <c r="E40" s="12" t="s">
        <v>338</v>
      </c>
      <c r="F40" s="12" t="s">
        <v>268</v>
      </c>
    </row>
    <row r="41" customFormat="false" ht="15" hidden="false" customHeight="false" outlineLevel="0" collapsed="false">
      <c r="A41" s="12" t="s">
        <v>108</v>
      </c>
      <c r="B41" s="12" t="s">
        <v>292</v>
      </c>
      <c r="C41" s="12" t="s">
        <v>296</v>
      </c>
      <c r="D41" s="12" t="s">
        <v>339</v>
      </c>
      <c r="E41" s="12" t="s">
        <v>340</v>
      </c>
      <c r="F41" s="12" t="s">
        <v>341</v>
      </c>
    </row>
    <row r="42" customFormat="false" ht="15" hidden="false" customHeight="false" outlineLevel="0" collapsed="false">
      <c r="A42" s="12" t="s">
        <v>108</v>
      </c>
      <c r="B42" s="12" t="s">
        <v>292</v>
      </c>
      <c r="C42" s="12" t="s">
        <v>300</v>
      </c>
      <c r="D42" s="12" t="s">
        <v>301</v>
      </c>
      <c r="E42" s="12" t="s">
        <v>342</v>
      </c>
      <c r="F42" s="12" t="s">
        <v>71</v>
      </c>
    </row>
    <row r="43" customFormat="false" ht="15" hidden="false" customHeight="false" outlineLevel="0" collapsed="false">
      <c r="A43" s="12" t="s">
        <v>108</v>
      </c>
      <c r="B43" s="12" t="s">
        <v>292</v>
      </c>
      <c r="C43" s="12" t="s">
        <v>303</v>
      </c>
      <c r="D43" s="12" t="s">
        <v>304</v>
      </c>
      <c r="E43" s="12" t="s">
        <v>343</v>
      </c>
      <c r="F43" s="12" t="s">
        <v>326</v>
      </c>
    </row>
    <row r="44" customFormat="false" ht="15" hidden="false" customHeight="false" outlineLevel="0" collapsed="false">
      <c r="A44" s="12" t="s">
        <v>127</v>
      </c>
      <c r="B44" s="12" t="s">
        <v>264</v>
      </c>
      <c r="C44" s="12" t="s">
        <v>265</v>
      </c>
      <c r="D44" s="12" t="s">
        <v>266</v>
      </c>
      <c r="E44" s="12" t="s">
        <v>344</v>
      </c>
      <c r="F44" s="12" t="s">
        <v>268</v>
      </c>
    </row>
    <row r="45" customFormat="false" ht="15" hidden="false" customHeight="false" outlineLevel="0" collapsed="false">
      <c r="A45" s="12" t="s">
        <v>127</v>
      </c>
      <c r="B45" s="12" t="s">
        <v>264</v>
      </c>
      <c r="C45" s="12" t="s">
        <v>269</v>
      </c>
      <c r="D45" s="12" t="s">
        <v>266</v>
      </c>
      <c r="E45" s="12" t="s">
        <v>344</v>
      </c>
      <c r="F45" s="12" t="s">
        <v>268</v>
      </c>
    </row>
    <row r="46" customFormat="false" ht="15" hidden="false" customHeight="false" outlineLevel="0" collapsed="false">
      <c r="A46" s="12" t="s">
        <v>127</v>
      </c>
      <c r="B46" s="12" t="s">
        <v>264</v>
      </c>
      <c r="C46" s="12" t="s">
        <v>270</v>
      </c>
      <c r="D46" s="12" t="s">
        <v>266</v>
      </c>
      <c r="E46" s="12" t="s">
        <v>344</v>
      </c>
      <c r="F46" s="12" t="s">
        <v>268</v>
      </c>
    </row>
    <row r="47" customFormat="false" ht="15" hidden="false" customHeight="false" outlineLevel="0" collapsed="false">
      <c r="A47" s="12" t="s">
        <v>127</v>
      </c>
      <c r="B47" s="12" t="s">
        <v>264</v>
      </c>
      <c r="C47" s="12" t="s">
        <v>271</v>
      </c>
      <c r="D47" s="12" t="s">
        <v>272</v>
      </c>
      <c r="E47" s="12" t="s">
        <v>345</v>
      </c>
      <c r="F47" s="12" t="s">
        <v>268</v>
      </c>
    </row>
    <row r="48" customFormat="false" ht="15" hidden="false" customHeight="false" outlineLevel="0" collapsed="false">
      <c r="A48" s="12" t="s">
        <v>127</v>
      </c>
      <c r="B48" s="12" t="s">
        <v>264</v>
      </c>
      <c r="C48" s="12" t="s">
        <v>274</v>
      </c>
      <c r="D48" s="12" t="s">
        <v>275</v>
      </c>
      <c r="E48" s="12" t="s">
        <v>346</v>
      </c>
      <c r="F48" s="12" t="s">
        <v>268</v>
      </c>
    </row>
    <row r="49" customFormat="false" ht="15" hidden="false" customHeight="false" outlineLevel="0" collapsed="false">
      <c r="A49" s="12" t="s">
        <v>127</v>
      </c>
      <c r="B49" s="12" t="s">
        <v>277</v>
      </c>
      <c r="C49" s="12" t="s">
        <v>278</v>
      </c>
      <c r="D49" s="12" t="s">
        <v>279</v>
      </c>
      <c r="E49" s="12" t="s">
        <v>347</v>
      </c>
      <c r="F49" s="12" t="s">
        <v>71</v>
      </c>
    </row>
    <row r="50" customFormat="false" ht="15" hidden="false" customHeight="false" outlineLevel="0" collapsed="false">
      <c r="A50" s="12" t="s">
        <v>127</v>
      </c>
      <c r="B50" s="12" t="s">
        <v>277</v>
      </c>
      <c r="C50" s="12" t="s">
        <v>281</v>
      </c>
      <c r="D50" s="12" t="s">
        <v>348</v>
      </c>
      <c r="E50" s="12" t="s">
        <v>349</v>
      </c>
      <c r="F50" s="12" t="s">
        <v>333</v>
      </c>
    </row>
    <row r="51" customFormat="false" ht="15" hidden="false" customHeight="false" outlineLevel="0" collapsed="false">
      <c r="A51" s="12" t="s">
        <v>127</v>
      </c>
      <c r="B51" s="12" t="s">
        <v>277</v>
      </c>
      <c r="C51" s="12" t="s">
        <v>285</v>
      </c>
      <c r="D51" s="12" t="s">
        <v>348</v>
      </c>
      <c r="E51" s="12" t="s">
        <v>349</v>
      </c>
      <c r="F51" s="12" t="s">
        <v>333</v>
      </c>
    </row>
    <row r="52" customFormat="false" ht="15" hidden="false" customHeight="false" outlineLevel="0" collapsed="false">
      <c r="A52" s="12" t="s">
        <v>127</v>
      </c>
      <c r="B52" s="12" t="s">
        <v>277</v>
      </c>
      <c r="C52" s="12" t="s">
        <v>286</v>
      </c>
      <c r="D52" s="12" t="s">
        <v>350</v>
      </c>
      <c r="E52" s="12" t="s">
        <v>351</v>
      </c>
      <c r="F52" s="12" t="s">
        <v>268</v>
      </c>
    </row>
    <row r="53" customFormat="false" ht="15" hidden="false" customHeight="false" outlineLevel="0" collapsed="false">
      <c r="A53" s="12" t="s">
        <v>127</v>
      </c>
      <c r="B53" s="12" t="s">
        <v>277</v>
      </c>
      <c r="C53" s="12" t="s">
        <v>289</v>
      </c>
      <c r="D53" s="12" t="s">
        <v>352</v>
      </c>
      <c r="E53" s="12" t="s">
        <v>353</v>
      </c>
      <c r="F53" s="12" t="s">
        <v>354</v>
      </c>
    </row>
    <row r="54" customFormat="false" ht="15" hidden="false" customHeight="false" outlineLevel="0" collapsed="false">
      <c r="A54" s="12" t="s">
        <v>127</v>
      </c>
      <c r="B54" s="12" t="s">
        <v>292</v>
      </c>
      <c r="C54" s="12" t="s">
        <v>293</v>
      </c>
      <c r="D54" s="12" t="s">
        <v>294</v>
      </c>
      <c r="E54" s="12" t="s">
        <v>355</v>
      </c>
      <c r="F54" s="12" t="s">
        <v>268</v>
      </c>
    </row>
    <row r="55" customFormat="false" ht="15" hidden="false" customHeight="false" outlineLevel="0" collapsed="false">
      <c r="A55" s="12" t="s">
        <v>127</v>
      </c>
      <c r="B55" s="12" t="s">
        <v>292</v>
      </c>
      <c r="C55" s="12" t="s">
        <v>296</v>
      </c>
      <c r="D55" s="12" t="s">
        <v>356</v>
      </c>
      <c r="E55" s="12" t="s">
        <v>357</v>
      </c>
      <c r="F55" s="12" t="s">
        <v>358</v>
      </c>
    </row>
    <row r="56" customFormat="false" ht="15" hidden="false" customHeight="false" outlineLevel="0" collapsed="false">
      <c r="A56" s="12" t="s">
        <v>127</v>
      </c>
      <c r="B56" s="12" t="s">
        <v>292</v>
      </c>
      <c r="C56" s="12" t="s">
        <v>300</v>
      </c>
      <c r="D56" s="12" t="s">
        <v>301</v>
      </c>
      <c r="E56" s="12" t="s">
        <v>359</v>
      </c>
      <c r="F56" s="12" t="s">
        <v>71</v>
      </c>
    </row>
    <row r="57" customFormat="false" ht="15" hidden="false" customHeight="false" outlineLevel="0" collapsed="false">
      <c r="A57" s="12" t="s">
        <v>127</v>
      </c>
      <c r="B57" s="12" t="s">
        <v>292</v>
      </c>
      <c r="C57" s="12" t="s">
        <v>303</v>
      </c>
      <c r="D57" s="12" t="s">
        <v>304</v>
      </c>
      <c r="E57" s="12" t="s">
        <v>360</v>
      </c>
      <c r="F57" s="12" t="s">
        <v>326</v>
      </c>
    </row>
    <row r="58" customFormat="false" ht="15" hidden="false" customHeight="false" outlineLevel="0" collapsed="false">
      <c r="A58" s="12" t="s">
        <v>146</v>
      </c>
      <c r="B58" s="12" t="s">
        <v>264</v>
      </c>
      <c r="C58" s="12" t="s">
        <v>265</v>
      </c>
      <c r="D58" s="12" t="s">
        <v>266</v>
      </c>
      <c r="E58" s="12" t="s">
        <v>361</v>
      </c>
      <c r="F58" s="12" t="s">
        <v>268</v>
      </c>
    </row>
    <row r="59" customFormat="false" ht="15" hidden="false" customHeight="false" outlineLevel="0" collapsed="false">
      <c r="A59" s="12" t="s">
        <v>146</v>
      </c>
      <c r="B59" s="12" t="s">
        <v>264</v>
      </c>
      <c r="C59" s="12" t="s">
        <v>269</v>
      </c>
      <c r="D59" s="12" t="s">
        <v>266</v>
      </c>
      <c r="E59" s="12" t="s">
        <v>361</v>
      </c>
      <c r="F59" s="12" t="s">
        <v>268</v>
      </c>
    </row>
    <row r="60" customFormat="false" ht="15" hidden="false" customHeight="false" outlineLevel="0" collapsed="false">
      <c r="A60" s="12" t="s">
        <v>146</v>
      </c>
      <c r="B60" s="12" t="s">
        <v>264</v>
      </c>
      <c r="C60" s="12" t="s">
        <v>270</v>
      </c>
      <c r="D60" s="12" t="s">
        <v>266</v>
      </c>
      <c r="E60" s="12" t="s">
        <v>361</v>
      </c>
      <c r="F60" s="12" t="s">
        <v>268</v>
      </c>
    </row>
    <row r="61" customFormat="false" ht="15" hidden="false" customHeight="false" outlineLevel="0" collapsed="false">
      <c r="A61" s="12" t="s">
        <v>146</v>
      </c>
      <c r="B61" s="12" t="s">
        <v>264</v>
      </c>
      <c r="C61" s="12" t="s">
        <v>271</v>
      </c>
      <c r="D61" s="12" t="s">
        <v>272</v>
      </c>
      <c r="E61" s="12" t="s">
        <v>362</v>
      </c>
      <c r="F61" s="12" t="s">
        <v>268</v>
      </c>
    </row>
    <row r="62" customFormat="false" ht="15" hidden="false" customHeight="false" outlineLevel="0" collapsed="false">
      <c r="A62" s="12" t="s">
        <v>146</v>
      </c>
      <c r="B62" s="12" t="s">
        <v>264</v>
      </c>
      <c r="C62" s="12" t="s">
        <v>274</v>
      </c>
      <c r="D62" s="12" t="s">
        <v>275</v>
      </c>
      <c r="E62" s="12" t="s">
        <v>363</v>
      </c>
      <c r="F62" s="12" t="s">
        <v>268</v>
      </c>
    </row>
    <row r="63" customFormat="false" ht="15" hidden="false" customHeight="false" outlineLevel="0" collapsed="false">
      <c r="A63" s="12" t="s">
        <v>146</v>
      </c>
      <c r="B63" s="12" t="s">
        <v>277</v>
      </c>
      <c r="C63" s="12" t="s">
        <v>278</v>
      </c>
      <c r="D63" s="12" t="s">
        <v>279</v>
      </c>
      <c r="E63" s="12" t="s">
        <v>364</v>
      </c>
      <c r="F63" s="12" t="s">
        <v>71</v>
      </c>
    </row>
    <row r="64" customFormat="false" ht="15" hidden="false" customHeight="false" outlineLevel="0" collapsed="false">
      <c r="A64" s="12" t="s">
        <v>146</v>
      </c>
      <c r="B64" s="12" t="s">
        <v>277</v>
      </c>
      <c r="C64" s="12" t="s">
        <v>281</v>
      </c>
      <c r="D64" s="12" t="s">
        <v>365</v>
      </c>
      <c r="E64" s="12" t="s">
        <v>366</v>
      </c>
      <c r="F64" s="12" t="s">
        <v>333</v>
      </c>
    </row>
    <row r="65" customFormat="false" ht="15" hidden="false" customHeight="false" outlineLevel="0" collapsed="false">
      <c r="A65" s="12" t="s">
        <v>146</v>
      </c>
      <c r="B65" s="12" t="s">
        <v>277</v>
      </c>
      <c r="C65" s="12" t="s">
        <v>285</v>
      </c>
      <c r="D65" s="12" t="s">
        <v>365</v>
      </c>
      <c r="E65" s="12" t="s">
        <v>366</v>
      </c>
      <c r="F65" s="12" t="s">
        <v>333</v>
      </c>
    </row>
    <row r="66" customFormat="false" ht="15" hidden="false" customHeight="false" outlineLevel="0" collapsed="false">
      <c r="A66" s="12" t="s">
        <v>146</v>
      </c>
      <c r="B66" s="12" t="s">
        <v>277</v>
      </c>
      <c r="C66" s="12" t="s">
        <v>286</v>
      </c>
      <c r="D66" s="12" t="s">
        <v>367</v>
      </c>
      <c r="E66" s="12" t="s">
        <v>368</v>
      </c>
      <c r="F66" s="12" t="s">
        <v>268</v>
      </c>
    </row>
    <row r="67" customFormat="false" ht="15" hidden="false" customHeight="false" outlineLevel="0" collapsed="false">
      <c r="A67" s="12" t="s">
        <v>146</v>
      </c>
      <c r="B67" s="12" t="s">
        <v>277</v>
      </c>
      <c r="C67" s="12" t="s">
        <v>289</v>
      </c>
      <c r="D67" s="12" t="s">
        <v>369</v>
      </c>
      <c r="E67" s="12" t="s">
        <v>370</v>
      </c>
      <c r="F67" s="12" t="s">
        <v>333</v>
      </c>
    </row>
    <row r="68" customFormat="false" ht="15" hidden="false" customHeight="false" outlineLevel="0" collapsed="false">
      <c r="A68" s="12" t="s">
        <v>146</v>
      </c>
      <c r="B68" s="12" t="s">
        <v>292</v>
      </c>
      <c r="C68" s="12" t="s">
        <v>293</v>
      </c>
      <c r="D68" s="12" t="s">
        <v>294</v>
      </c>
      <c r="E68" s="12" t="s">
        <v>371</v>
      </c>
      <c r="F68" s="12" t="s">
        <v>268</v>
      </c>
    </row>
    <row r="69" customFormat="false" ht="15" hidden="false" customHeight="false" outlineLevel="0" collapsed="false">
      <c r="A69" s="12" t="s">
        <v>146</v>
      </c>
      <c r="B69" s="12" t="s">
        <v>292</v>
      </c>
      <c r="C69" s="12" t="s">
        <v>296</v>
      </c>
      <c r="D69" s="12" t="s">
        <v>372</v>
      </c>
      <c r="E69" s="12" t="s">
        <v>373</v>
      </c>
      <c r="F69" s="12" t="s">
        <v>374</v>
      </c>
    </row>
    <row r="70" customFormat="false" ht="15" hidden="false" customHeight="false" outlineLevel="0" collapsed="false">
      <c r="A70" s="12" t="s">
        <v>146</v>
      </c>
      <c r="B70" s="12" t="s">
        <v>292</v>
      </c>
      <c r="C70" s="12" t="s">
        <v>300</v>
      </c>
      <c r="D70" s="12" t="s">
        <v>301</v>
      </c>
      <c r="E70" s="12" t="s">
        <v>375</v>
      </c>
      <c r="F70" s="12" t="s">
        <v>376</v>
      </c>
    </row>
    <row r="71" customFormat="false" ht="15" hidden="false" customHeight="false" outlineLevel="0" collapsed="false">
      <c r="A71" s="12" t="s">
        <v>146</v>
      </c>
      <c r="B71" s="12" t="s">
        <v>292</v>
      </c>
      <c r="C71" s="12" t="s">
        <v>303</v>
      </c>
      <c r="D71" s="12" t="s">
        <v>304</v>
      </c>
      <c r="E71" s="12" t="s">
        <v>377</v>
      </c>
      <c r="F71" s="12" t="s">
        <v>326</v>
      </c>
    </row>
    <row r="72" customFormat="false" ht="15" hidden="false" customHeight="false" outlineLevel="0" collapsed="false">
      <c r="A72" s="12" t="s">
        <v>165</v>
      </c>
      <c r="B72" s="12" t="s">
        <v>264</v>
      </c>
      <c r="C72" s="12" t="s">
        <v>265</v>
      </c>
      <c r="D72" s="12" t="s">
        <v>266</v>
      </c>
      <c r="E72" s="12" t="s">
        <v>378</v>
      </c>
      <c r="F72" s="12" t="s">
        <v>268</v>
      </c>
    </row>
    <row r="73" customFormat="false" ht="15" hidden="false" customHeight="false" outlineLevel="0" collapsed="false">
      <c r="A73" s="12" t="s">
        <v>165</v>
      </c>
      <c r="B73" s="12" t="s">
        <v>264</v>
      </c>
      <c r="C73" s="12" t="s">
        <v>269</v>
      </c>
      <c r="D73" s="12" t="s">
        <v>266</v>
      </c>
      <c r="E73" s="12" t="s">
        <v>378</v>
      </c>
      <c r="F73" s="12" t="s">
        <v>268</v>
      </c>
    </row>
    <row r="74" customFormat="false" ht="15" hidden="false" customHeight="false" outlineLevel="0" collapsed="false">
      <c r="A74" s="12" t="s">
        <v>165</v>
      </c>
      <c r="B74" s="12" t="s">
        <v>264</v>
      </c>
      <c r="C74" s="12" t="s">
        <v>270</v>
      </c>
      <c r="D74" s="12" t="s">
        <v>266</v>
      </c>
      <c r="E74" s="12" t="s">
        <v>378</v>
      </c>
      <c r="F74" s="12" t="s">
        <v>268</v>
      </c>
    </row>
    <row r="75" customFormat="false" ht="15" hidden="false" customHeight="false" outlineLevel="0" collapsed="false">
      <c r="A75" s="12" t="s">
        <v>165</v>
      </c>
      <c r="B75" s="12" t="s">
        <v>264</v>
      </c>
      <c r="C75" s="12" t="s">
        <v>271</v>
      </c>
      <c r="D75" s="12" t="s">
        <v>272</v>
      </c>
      <c r="E75" s="12" t="s">
        <v>379</v>
      </c>
      <c r="F75" s="12" t="s">
        <v>268</v>
      </c>
    </row>
    <row r="76" customFormat="false" ht="15" hidden="false" customHeight="false" outlineLevel="0" collapsed="false">
      <c r="A76" s="12" t="s">
        <v>165</v>
      </c>
      <c r="B76" s="12" t="s">
        <v>264</v>
      </c>
      <c r="C76" s="12" t="s">
        <v>274</v>
      </c>
      <c r="D76" s="12" t="s">
        <v>275</v>
      </c>
      <c r="E76" s="12" t="s">
        <v>380</v>
      </c>
      <c r="F76" s="12" t="s">
        <v>268</v>
      </c>
    </row>
    <row r="77" customFormat="false" ht="15" hidden="false" customHeight="false" outlineLevel="0" collapsed="false">
      <c r="A77" s="12" t="s">
        <v>165</v>
      </c>
      <c r="B77" s="12" t="s">
        <v>277</v>
      </c>
      <c r="C77" s="12" t="s">
        <v>278</v>
      </c>
      <c r="D77" s="12" t="s">
        <v>279</v>
      </c>
      <c r="E77" s="12" t="s">
        <v>381</v>
      </c>
      <c r="F77" s="12" t="s">
        <v>312</v>
      </c>
    </row>
    <row r="78" customFormat="false" ht="15" hidden="false" customHeight="false" outlineLevel="0" collapsed="false">
      <c r="A78" s="12" t="s">
        <v>165</v>
      </c>
      <c r="B78" s="12" t="s">
        <v>277</v>
      </c>
      <c r="C78" s="12" t="s">
        <v>281</v>
      </c>
      <c r="D78" s="12" t="s">
        <v>382</v>
      </c>
      <c r="E78" s="12" t="s">
        <v>383</v>
      </c>
      <c r="F78" s="12" t="s">
        <v>333</v>
      </c>
    </row>
    <row r="79" customFormat="false" ht="15" hidden="false" customHeight="false" outlineLevel="0" collapsed="false">
      <c r="A79" s="12" t="s">
        <v>165</v>
      </c>
      <c r="B79" s="12" t="s">
        <v>277</v>
      </c>
      <c r="C79" s="12" t="s">
        <v>285</v>
      </c>
      <c r="D79" s="12" t="s">
        <v>382</v>
      </c>
      <c r="E79" s="12" t="s">
        <v>383</v>
      </c>
      <c r="F79" s="12" t="s">
        <v>333</v>
      </c>
    </row>
    <row r="80" customFormat="false" ht="15" hidden="false" customHeight="false" outlineLevel="0" collapsed="false">
      <c r="A80" s="12" t="s">
        <v>165</v>
      </c>
      <c r="B80" s="12" t="s">
        <v>277</v>
      </c>
      <c r="C80" s="12" t="s">
        <v>286</v>
      </c>
      <c r="D80" s="12" t="s">
        <v>384</v>
      </c>
      <c r="E80" s="12" t="s">
        <v>385</v>
      </c>
      <c r="F80" s="12" t="s">
        <v>268</v>
      </c>
    </row>
    <row r="81" customFormat="false" ht="15" hidden="false" customHeight="false" outlineLevel="0" collapsed="false">
      <c r="A81" s="12" t="s">
        <v>165</v>
      </c>
      <c r="B81" s="12" t="s">
        <v>277</v>
      </c>
      <c r="C81" s="12" t="s">
        <v>289</v>
      </c>
      <c r="D81" s="12" t="s">
        <v>386</v>
      </c>
      <c r="E81" s="12" t="s">
        <v>387</v>
      </c>
      <c r="F81" s="12" t="s">
        <v>333</v>
      </c>
    </row>
    <row r="82" customFormat="false" ht="15" hidden="false" customHeight="false" outlineLevel="0" collapsed="false">
      <c r="A82" s="12" t="s">
        <v>165</v>
      </c>
      <c r="B82" s="12" t="s">
        <v>292</v>
      </c>
      <c r="C82" s="12" t="s">
        <v>293</v>
      </c>
      <c r="D82" s="12" t="s">
        <v>294</v>
      </c>
      <c r="E82" s="12" t="s">
        <v>388</v>
      </c>
      <c r="F82" s="12" t="s">
        <v>389</v>
      </c>
    </row>
    <row r="83" customFormat="false" ht="15" hidden="false" customHeight="false" outlineLevel="0" collapsed="false">
      <c r="A83" s="12" t="s">
        <v>165</v>
      </c>
      <c r="B83" s="12" t="s">
        <v>292</v>
      </c>
      <c r="C83" s="12" t="s">
        <v>296</v>
      </c>
      <c r="D83" s="12" t="s">
        <v>390</v>
      </c>
      <c r="E83" s="12" t="s">
        <v>391</v>
      </c>
      <c r="F83" s="12" t="s">
        <v>392</v>
      </c>
    </row>
    <row r="84" customFormat="false" ht="15" hidden="false" customHeight="false" outlineLevel="0" collapsed="false">
      <c r="A84" s="12" t="s">
        <v>165</v>
      </c>
      <c r="B84" s="12" t="s">
        <v>292</v>
      </c>
      <c r="C84" s="12" t="s">
        <v>300</v>
      </c>
      <c r="D84" s="12" t="s">
        <v>301</v>
      </c>
      <c r="E84" s="12" t="s">
        <v>393</v>
      </c>
      <c r="F84" s="12" t="s">
        <v>71</v>
      </c>
    </row>
    <row r="85" customFormat="false" ht="15" hidden="false" customHeight="false" outlineLevel="0" collapsed="false">
      <c r="A85" s="12" t="s">
        <v>165</v>
      </c>
      <c r="B85" s="12" t="s">
        <v>292</v>
      </c>
      <c r="C85" s="12" t="s">
        <v>303</v>
      </c>
      <c r="D85" s="12" t="s">
        <v>394</v>
      </c>
      <c r="E85" s="12" t="s">
        <v>395</v>
      </c>
      <c r="F85" s="12" t="s">
        <v>396</v>
      </c>
    </row>
    <row r="86" customFormat="false" ht="15" hidden="false" customHeight="false" outlineLevel="0" collapsed="false">
      <c r="A86" s="12" t="s">
        <v>184</v>
      </c>
      <c r="B86" s="12" t="s">
        <v>264</v>
      </c>
      <c r="C86" s="12" t="s">
        <v>265</v>
      </c>
      <c r="D86" s="12" t="s">
        <v>266</v>
      </c>
      <c r="E86" s="12" t="s">
        <v>397</v>
      </c>
      <c r="F86" s="12" t="s">
        <v>312</v>
      </c>
    </row>
    <row r="87" customFormat="false" ht="15" hidden="false" customHeight="false" outlineLevel="0" collapsed="false">
      <c r="A87" s="12" t="s">
        <v>184</v>
      </c>
      <c r="B87" s="12" t="s">
        <v>264</v>
      </c>
      <c r="C87" s="12" t="s">
        <v>269</v>
      </c>
      <c r="D87" s="12" t="s">
        <v>266</v>
      </c>
      <c r="E87" s="12" t="s">
        <v>397</v>
      </c>
      <c r="F87" s="12" t="s">
        <v>312</v>
      </c>
    </row>
    <row r="88" customFormat="false" ht="15" hidden="false" customHeight="false" outlineLevel="0" collapsed="false">
      <c r="A88" s="12" t="s">
        <v>184</v>
      </c>
      <c r="B88" s="12" t="s">
        <v>264</v>
      </c>
      <c r="C88" s="12" t="s">
        <v>270</v>
      </c>
      <c r="D88" s="12" t="s">
        <v>266</v>
      </c>
      <c r="E88" s="12" t="s">
        <v>397</v>
      </c>
      <c r="F88" s="12" t="s">
        <v>312</v>
      </c>
    </row>
    <row r="89" customFormat="false" ht="15" hidden="false" customHeight="false" outlineLevel="0" collapsed="false">
      <c r="A89" s="12" t="s">
        <v>184</v>
      </c>
      <c r="B89" s="12" t="s">
        <v>264</v>
      </c>
      <c r="C89" s="12" t="s">
        <v>271</v>
      </c>
      <c r="D89" s="12" t="s">
        <v>272</v>
      </c>
      <c r="E89" s="12" t="s">
        <v>398</v>
      </c>
      <c r="F89" s="12" t="s">
        <v>268</v>
      </c>
    </row>
    <row r="90" customFormat="false" ht="15" hidden="false" customHeight="false" outlineLevel="0" collapsed="false">
      <c r="A90" s="12" t="s">
        <v>184</v>
      </c>
      <c r="B90" s="12" t="s">
        <v>264</v>
      </c>
      <c r="C90" s="12" t="s">
        <v>274</v>
      </c>
      <c r="D90" s="12" t="s">
        <v>275</v>
      </c>
      <c r="E90" s="12" t="s">
        <v>399</v>
      </c>
      <c r="F90" s="12" t="s">
        <v>268</v>
      </c>
    </row>
    <row r="91" customFormat="false" ht="15" hidden="false" customHeight="false" outlineLevel="0" collapsed="false">
      <c r="A91" s="12" t="s">
        <v>184</v>
      </c>
      <c r="B91" s="12" t="s">
        <v>277</v>
      </c>
      <c r="C91" s="12" t="s">
        <v>278</v>
      </c>
      <c r="D91" s="12" t="s">
        <v>400</v>
      </c>
      <c r="E91" s="12" t="s">
        <v>401</v>
      </c>
      <c r="F91" s="12" t="s">
        <v>71</v>
      </c>
    </row>
    <row r="92" customFormat="false" ht="15" hidden="false" customHeight="false" outlineLevel="0" collapsed="false">
      <c r="A92" s="12" t="s">
        <v>184</v>
      </c>
      <c r="B92" s="12" t="s">
        <v>277</v>
      </c>
      <c r="C92" s="12" t="s">
        <v>281</v>
      </c>
      <c r="D92" s="12" t="s">
        <v>400</v>
      </c>
      <c r="E92" s="12" t="s">
        <v>401</v>
      </c>
      <c r="F92" s="12" t="s">
        <v>402</v>
      </c>
    </row>
    <row r="93" customFormat="false" ht="15" hidden="false" customHeight="false" outlineLevel="0" collapsed="false">
      <c r="A93" s="12" t="s">
        <v>184</v>
      </c>
      <c r="B93" s="12" t="s">
        <v>277</v>
      </c>
      <c r="C93" s="12" t="s">
        <v>285</v>
      </c>
      <c r="D93" s="12" t="s">
        <v>403</v>
      </c>
      <c r="E93" s="12" t="s">
        <v>404</v>
      </c>
      <c r="F93" s="12" t="s">
        <v>405</v>
      </c>
    </row>
    <row r="94" customFormat="false" ht="15" hidden="false" customHeight="false" outlineLevel="0" collapsed="false">
      <c r="A94" s="12" t="s">
        <v>184</v>
      </c>
      <c r="B94" s="12" t="s">
        <v>277</v>
      </c>
      <c r="C94" s="12" t="s">
        <v>286</v>
      </c>
      <c r="D94" s="12" t="s">
        <v>406</v>
      </c>
      <c r="E94" s="12" t="s">
        <v>407</v>
      </c>
      <c r="F94" s="12" t="s">
        <v>333</v>
      </c>
    </row>
    <row r="95" customFormat="false" ht="15" hidden="false" customHeight="false" outlineLevel="0" collapsed="false">
      <c r="A95" s="12" t="s">
        <v>184</v>
      </c>
      <c r="B95" s="12" t="s">
        <v>277</v>
      </c>
      <c r="C95" s="12" t="s">
        <v>289</v>
      </c>
      <c r="D95" s="12" t="s">
        <v>408</v>
      </c>
      <c r="E95" s="12" t="s">
        <v>409</v>
      </c>
      <c r="F95" s="12" t="s">
        <v>333</v>
      </c>
    </row>
    <row r="96" customFormat="false" ht="15" hidden="false" customHeight="false" outlineLevel="0" collapsed="false">
      <c r="A96" s="12" t="s">
        <v>184</v>
      </c>
      <c r="B96" s="12" t="s">
        <v>292</v>
      </c>
      <c r="C96" s="12" t="s">
        <v>293</v>
      </c>
      <c r="D96" s="12" t="s">
        <v>294</v>
      </c>
      <c r="E96" s="12" t="s">
        <v>410</v>
      </c>
      <c r="F96" s="12" t="s">
        <v>374</v>
      </c>
    </row>
    <row r="97" customFormat="false" ht="15" hidden="false" customHeight="false" outlineLevel="0" collapsed="false">
      <c r="A97" s="12" t="s">
        <v>184</v>
      </c>
      <c r="B97" s="12" t="s">
        <v>292</v>
      </c>
      <c r="C97" s="12" t="s">
        <v>296</v>
      </c>
      <c r="D97" s="12" t="s">
        <v>411</v>
      </c>
      <c r="E97" s="12" t="s">
        <v>412</v>
      </c>
      <c r="F97" s="12" t="s">
        <v>413</v>
      </c>
    </row>
    <row r="98" customFormat="false" ht="15" hidden="false" customHeight="false" outlineLevel="0" collapsed="false">
      <c r="A98" s="12" t="s">
        <v>184</v>
      </c>
      <c r="B98" s="12" t="s">
        <v>292</v>
      </c>
      <c r="C98" s="12" t="s">
        <v>300</v>
      </c>
      <c r="D98" s="12" t="s">
        <v>301</v>
      </c>
      <c r="E98" s="12" t="s">
        <v>414</v>
      </c>
      <c r="F98" s="12" t="s">
        <v>71</v>
      </c>
    </row>
    <row r="99" customFormat="false" ht="15" hidden="false" customHeight="false" outlineLevel="0" collapsed="false">
      <c r="A99" s="12" t="s">
        <v>184</v>
      </c>
      <c r="B99" s="12" t="s">
        <v>292</v>
      </c>
      <c r="C99" s="12" t="s">
        <v>303</v>
      </c>
      <c r="D99" s="12" t="s">
        <v>415</v>
      </c>
      <c r="E99" s="12" t="s">
        <v>416</v>
      </c>
      <c r="F99" s="12" t="s">
        <v>312</v>
      </c>
    </row>
    <row r="100" customFormat="false" ht="15" hidden="false" customHeight="false" outlineLevel="0" collapsed="false">
      <c r="A100" s="12" t="s">
        <v>203</v>
      </c>
      <c r="B100" s="12" t="s">
        <v>264</v>
      </c>
      <c r="C100" s="12" t="s">
        <v>265</v>
      </c>
      <c r="D100" s="12" t="s">
        <v>266</v>
      </c>
      <c r="E100" s="12" t="s">
        <v>417</v>
      </c>
      <c r="F100" s="12" t="s">
        <v>268</v>
      </c>
    </row>
    <row r="101" customFormat="false" ht="15" hidden="false" customHeight="false" outlineLevel="0" collapsed="false">
      <c r="A101" s="12" t="s">
        <v>203</v>
      </c>
      <c r="B101" s="12" t="s">
        <v>264</v>
      </c>
      <c r="C101" s="12" t="s">
        <v>269</v>
      </c>
      <c r="D101" s="12" t="s">
        <v>266</v>
      </c>
      <c r="E101" s="12" t="s">
        <v>417</v>
      </c>
      <c r="F101" s="12" t="s">
        <v>268</v>
      </c>
    </row>
    <row r="102" customFormat="false" ht="15" hidden="false" customHeight="false" outlineLevel="0" collapsed="false">
      <c r="A102" s="12" t="s">
        <v>203</v>
      </c>
      <c r="B102" s="12" t="s">
        <v>264</v>
      </c>
      <c r="C102" s="12" t="s">
        <v>270</v>
      </c>
      <c r="D102" s="12" t="s">
        <v>266</v>
      </c>
      <c r="E102" s="12" t="s">
        <v>417</v>
      </c>
      <c r="F102" s="12" t="s">
        <v>268</v>
      </c>
    </row>
    <row r="103" customFormat="false" ht="15" hidden="false" customHeight="false" outlineLevel="0" collapsed="false">
      <c r="A103" s="12" t="s">
        <v>203</v>
      </c>
      <c r="B103" s="12" t="s">
        <v>264</v>
      </c>
      <c r="C103" s="12" t="s">
        <v>271</v>
      </c>
      <c r="D103" s="12" t="s">
        <v>272</v>
      </c>
      <c r="E103" s="12" t="s">
        <v>418</v>
      </c>
      <c r="F103" s="12" t="s">
        <v>268</v>
      </c>
    </row>
    <row r="104" customFormat="false" ht="15" hidden="false" customHeight="false" outlineLevel="0" collapsed="false">
      <c r="A104" s="12" t="s">
        <v>203</v>
      </c>
      <c r="B104" s="12" t="s">
        <v>264</v>
      </c>
      <c r="C104" s="12" t="s">
        <v>274</v>
      </c>
      <c r="D104" s="12" t="s">
        <v>275</v>
      </c>
      <c r="E104" s="12" t="s">
        <v>419</v>
      </c>
      <c r="F104" s="12" t="s">
        <v>268</v>
      </c>
    </row>
    <row r="105" customFormat="false" ht="15" hidden="false" customHeight="false" outlineLevel="0" collapsed="false">
      <c r="A105" s="12" t="s">
        <v>203</v>
      </c>
      <c r="B105" s="12" t="s">
        <v>277</v>
      </c>
      <c r="C105" s="12" t="s">
        <v>278</v>
      </c>
      <c r="D105" s="12" t="s">
        <v>279</v>
      </c>
      <c r="E105" s="12" t="s">
        <v>420</v>
      </c>
      <c r="F105" s="12" t="s">
        <v>312</v>
      </c>
    </row>
    <row r="106" customFormat="false" ht="15" hidden="false" customHeight="false" outlineLevel="0" collapsed="false">
      <c r="A106" s="12" t="s">
        <v>203</v>
      </c>
      <c r="B106" s="12" t="s">
        <v>277</v>
      </c>
      <c r="C106" s="12" t="s">
        <v>281</v>
      </c>
      <c r="D106" s="12" t="s">
        <v>421</v>
      </c>
      <c r="E106" s="12" t="s">
        <v>422</v>
      </c>
      <c r="F106" s="12" t="s">
        <v>423</v>
      </c>
    </row>
    <row r="107" customFormat="false" ht="15" hidden="false" customHeight="false" outlineLevel="0" collapsed="false">
      <c r="A107" s="12" t="s">
        <v>203</v>
      </c>
      <c r="B107" s="12" t="s">
        <v>277</v>
      </c>
      <c r="C107" s="12" t="s">
        <v>285</v>
      </c>
      <c r="D107" s="12" t="s">
        <v>421</v>
      </c>
      <c r="E107" s="12" t="s">
        <v>422</v>
      </c>
      <c r="F107" s="12" t="s">
        <v>423</v>
      </c>
    </row>
    <row r="108" customFormat="false" ht="15" hidden="false" customHeight="false" outlineLevel="0" collapsed="false">
      <c r="A108" s="12" t="s">
        <v>203</v>
      </c>
      <c r="B108" s="12" t="s">
        <v>277</v>
      </c>
      <c r="C108" s="12" t="s">
        <v>286</v>
      </c>
      <c r="D108" s="12" t="s">
        <v>424</v>
      </c>
      <c r="E108" s="12" t="s">
        <v>425</v>
      </c>
      <c r="F108" s="12" t="s">
        <v>268</v>
      </c>
    </row>
    <row r="109" customFormat="false" ht="15" hidden="false" customHeight="false" outlineLevel="0" collapsed="false">
      <c r="A109" s="12" t="s">
        <v>203</v>
      </c>
      <c r="B109" s="12" t="s">
        <v>277</v>
      </c>
      <c r="C109" s="12" t="s">
        <v>289</v>
      </c>
      <c r="D109" s="12" t="s">
        <v>426</v>
      </c>
      <c r="E109" s="12" t="s">
        <v>427</v>
      </c>
      <c r="F109" s="12" t="s">
        <v>423</v>
      </c>
    </row>
    <row r="110" customFormat="false" ht="15" hidden="false" customHeight="false" outlineLevel="0" collapsed="false">
      <c r="A110" s="12" t="s">
        <v>203</v>
      </c>
      <c r="B110" s="12" t="s">
        <v>292</v>
      </c>
      <c r="C110" s="12" t="s">
        <v>293</v>
      </c>
      <c r="D110" s="12" t="s">
        <v>294</v>
      </c>
      <c r="E110" s="12" t="s">
        <v>428</v>
      </c>
      <c r="F110" s="12" t="s">
        <v>268</v>
      </c>
    </row>
    <row r="111" customFormat="false" ht="15" hidden="false" customHeight="false" outlineLevel="0" collapsed="false">
      <c r="A111" s="12" t="s">
        <v>203</v>
      </c>
      <c r="B111" s="12" t="s">
        <v>292</v>
      </c>
      <c r="C111" s="12" t="s">
        <v>296</v>
      </c>
      <c r="D111" s="12" t="s">
        <v>429</v>
      </c>
      <c r="E111" s="12" t="s">
        <v>430</v>
      </c>
      <c r="F111" s="12" t="s">
        <v>374</v>
      </c>
    </row>
    <row r="112" customFormat="false" ht="15" hidden="false" customHeight="false" outlineLevel="0" collapsed="false">
      <c r="A112" s="12" t="s">
        <v>203</v>
      </c>
      <c r="B112" s="12" t="s">
        <v>292</v>
      </c>
      <c r="C112" s="12" t="s">
        <v>300</v>
      </c>
      <c r="D112" s="12" t="s">
        <v>301</v>
      </c>
      <c r="E112" s="12" t="s">
        <v>431</v>
      </c>
      <c r="F112" s="12" t="s">
        <v>71</v>
      </c>
    </row>
    <row r="113" customFormat="false" ht="15" hidden="false" customHeight="false" outlineLevel="0" collapsed="false">
      <c r="A113" s="12" t="s">
        <v>203</v>
      </c>
      <c r="B113" s="12" t="s">
        <v>292</v>
      </c>
      <c r="C113" s="12" t="s">
        <v>303</v>
      </c>
      <c r="D113" s="12" t="s">
        <v>304</v>
      </c>
      <c r="E113" s="12" t="s">
        <v>432</v>
      </c>
      <c r="F113" s="12" t="s">
        <v>433</v>
      </c>
    </row>
    <row r="114" customFormat="false" ht="15" hidden="false" customHeight="false" outlineLevel="0" collapsed="false">
      <c r="A114" s="12" t="s">
        <v>222</v>
      </c>
      <c r="B114" s="12" t="s">
        <v>264</v>
      </c>
      <c r="C114" s="12" t="s">
        <v>265</v>
      </c>
      <c r="D114" s="12" t="s">
        <v>266</v>
      </c>
      <c r="E114" s="12" t="s">
        <v>434</v>
      </c>
      <c r="F114" s="12" t="s">
        <v>268</v>
      </c>
    </row>
    <row r="115" customFormat="false" ht="15" hidden="false" customHeight="false" outlineLevel="0" collapsed="false">
      <c r="A115" s="12" t="s">
        <v>222</v>
      </c>
      <c r="B115" s="12" t="s">
        <v>264</v>
      </c>
      <c r="C115" s="12" t="s">
        <v>269</v>
      </c>
      <c r="D115" s="12" t="s">
        <v>266</v>
      </c>
      <c r="E115" s="12" t="s">
        <v>434</v>
      </c>
      <c r="F115" s="12" t="s">
        <v>268</v>
      </c>
    </row>
    <row r="116" customFormat="false" ht="15" hidden="false" customHeight="false" outlineLevel="0" collapsed="false">
      <c r="A116" s="12" t="s">
        <v>222</v>
      </c>
      <c r="B116" s="12" t="s">
        <v>264</v>
      </c>
      <c r="C116" s="12" t="s">
        <v>270</v>
      </c>
      <c r="D116" s="12" t="s">
        <v>266</v>
      </c>
      <c r="E116" s="12" t="s">
        <v>434</v>
      </c>
      <c r="F116" s="12" t="s">
        <v>268</v>
      </c>
    </row>
    <row r="117" customFormat="false" ht="15" hidden="false" customHeight="false" outlineLevel="0" collapsed="false">
      <c r="A117" s="12" t="s">
        <v>222</v>
      </c>
      <c r="B117" s="12" t="s">
        <v>264</v>
      </c>
      <c r="C117" s="12" t="s">
        <v>271</v>
      </c>
      <c r="D117" s="12" t="s">
        <v>272</v>
      </c>
      <c r="E117" s="12" t="s">
        <v>435</v>
      </c>
      <c r="F117" s="12" t="s">
        <v>268</v>
      </c>
    </row>
    <row r="118" customFormat="false" ht="15" hidden="false" customHeight="false" outlineLevel="0" collapsed="false">
      <c r="A118" s="12" t="s">
        <v>222</v>
      </c>
      <c r="B118" s="12" t="s">
        <v>264</v>
      </c>
      <c r="C118" s="12" t="s">
        <v>274</v>
      </c>
      <c r="D118" s="12" t="s">
        <v>309</v>
      </c>
      <c r="E118" s="12" t="s">
        <v>436</v>
      </c>
      <c r="F118" s="12" t="s">
        <v>268</v>
      </c>
    </row>
    <row r="119" customFormat="false" ht="15" hidden="false" customHeight="false" outlineLevel="0" collapsed="false">
      <c r="A119" s="12" t="s">
        <v>222</v>
      </c>
      <c r="B119" s="12" t="s">
        <v>277</v>
      </c>
      <c r="C119" s="12" t="s">
        <v>278</v>
      </c>
      <c r="D119" s="12" t="s">
        <v>279</v>
      </c>
      <c r="E119" s="12" t="s">
        <v>437</v>
      </c>
      <c r="F119" s="12" t="s">
        <v>312</v>
      </c>
    </row>
    <row r="120" customFormat="false" ht="15" hidden="false" customHeight="false" outlineLevel="0" collapsed="false">
      <c r="A120" s="12" t="s">
        <v>222</v>
      </c>
      <c r="B120" s="12" t="s">
        <v>277</v>
      </c>
      <c r="C120" s="12" t="s">
        <v>281</v>
      </c>
      <c r="D120" s="12" t="s">
        <v>438</v>
      </c>
      <c r="E120" s="12" t="s">
        <v>439</v>
      </c>
      <c r="F120" s="12" t="s">
        <v>333</v>
      </c>
    </row>
    <row r="121" customFormat="false" ht="15" hidden="false" customHeight="false" outlineLevel="0" collapsed="false">
      <c r="A121" s="12" t="s">
        <v>222</v>
      </c>
      <c r="B121" s="12" t="s">
        <v>277</v>
      </c>
      <c r="C121" s="12" t="s">
        <v>285</v>
      </c>
      <c r="D121" s="12" t="s">
        <v>438</v>
      </c>
      <c r="E121" s="12" t="s">
        <v>439</v>
      </c>
      <c r="F121" s="12" t="s">
        <v>333</v>
      </c>
    </row>
    <row r="122" customFormat="false" ht="15" hidden="false" customHeight="false" outlineLevel="0" collapsed="false">
      <c r="A122" s="12" t="s">
        <v>222</v>
      </c>
      <c r="B122" s="12" t="s">
        <v>277</v>
      </c>
      <c r="C122" s="12" t="s">
        <v>286</v>
      </c>
      <c r="D122" s="12" t="s">
        <v>440</v>
      </c>
      <c r="E122" s="12" t="s">
        <v>441</v>
      </c>
      <c r="F122" s="12" t="s">
        <v>268</v>
      </c>
    </row>
    <row r="123" customFormat="false" ht="15" hidden="false" customHeight="false" outlineLevel="0" collapsed="false">
      <c r="A123" s="12" t="s">
        <v>222</v>
      </c>
      <c r="B123" s="12" t="s">
        <v>277</v>
      </c>
      <c r="C123" s="12" t="s">
        <v>289</v>
      </c>
      <c r="D123" s="12" t="s">
        <v>442</v>
      </c>
      <c r="E123" s="12" t="s">
        <v>443</v>
      </c>
      <c r="F123" s="12" t="s">
        <v>333</v>
      </c>
    </row>
    <row r="124" customFormat="false" ht="15" hidden="false" customHeight="false" outlineLevel="0" collapsed="false">
      <c r="A124" s="12" t="s">
        <v>222</v>
      </c>
      <c r="B124" s="12" t="s">
        <v>292</v>
      </c>
      <c r="C124" s="12" t="s">
        <v>293</v>
      </c>
      <c r="D124" s="12" t="s">
        <v>294</v>
      </c>
      <c r="E124" s="12" t="s">
        <v>444</v>
      </c>
      <c r="F124" s="12" t="s">
        <v>445</v>
      </c>
    </row>
    <row r="125" customFormat="false" ht="15" hidden="false" customHeight="false" outlineLevel="0" collapsed="false">
      <c r="A125" s="12" t="s">
        <v>222</v>
      </c>
      <c r="B125" s="12" t="s">
        <v>292</v>
      </c>
      <c r="C125" s="12" t="s">
        <v>296</v>
      </c>
      <c r="D125" s="12" t="s">
        <v>446</v>
      </c>
      <c r="E125" s="12" t="s">
        <v>447</v>
      </c>
      <c r="F125" s="12" t="s">
        <v>445</v>
      </c>
    </row>
    <row r="126" customFormat="false" ht="15" hidden="false" customHeight="false" outlineLevel="0" collapsed="false">
      <c r="A126" s="12" t="s">
        <v>222</v>
      </c>
      <c r="B126" s="12" t="s">
        <v>292</v>
      </c>
      <c r="C126" s="12" t="s">
        <v>300</v>
      </c>
      <c r="D126" s="12" t="s">
        <v>301</v>
      </c>
      <c r="E126" s="12" t="s">
        <v>448</v>
      </c>
      <c r="F126" s="12" t="s">
        <v>376</v>
      </c>
    </row>
    <row r="127" customFormat="false" ht="15" hidden="false" customHeight="false" outlineLevel="0" collapsed="false">
      <c r="A127" s="12" t="s">
        <v>222</v>
      </c>
      <c r="B127" s="12" t="s">
        <v>292</v>
      </c>
      <c r="C127" s="12" t="s">
        <v>303</v>
      </c>
      <c r="D127" s="12" t="s">
        <v>304</v>
      </c>
      <c r="E127" s="12" t="s">
        <v>449</v>
      </c>
      <c r="F127" s="12" t="s">
        <v>326</v>
      </c>
    </row>
    <row r="128" customFormat="false" ht="15" hidden="false" customHeight="false" outlineLevel="0" collapsed="false">
      <c r="A128" s="12" t="s">
        <v>241</v>
      </c>
      <c r="B128" s="12" t="s">
        <v>264</v>
      </c>
      <c r="C128" s="12" t="s">
        <v>265</v>
      </c>
      <c r="D128" s="12" t="s">
        <v>266</v>
      </c>
      <c r="E128" s="12" t="s">
        <v>450</v>
      </c>
      <c r="F128" s="12" t="s">
        <v>268</v>
      </c>
    </row>
    <row r="129" customFormat="false" ht="15" hidden="false" customHeight="false" outlineLevel="0" collapsed="false">
      <c r="A129" s="12" t="s">
        <v>241</v>
      </c>
      <c r="B129" s="12" t="s">
        <v>264</v>
      </c>
      <c r="C129" s="12" t="s">
        <v>269</v>
      </c>
      <c r="D129" s="12" t="s">
        <v>266</v>
      </c>
      <c r="E129" s="12" t="s">
        <v>450</v>
      </c>
      <c r="F129" s="12" t="s">
        <v>268</v>
      </c>
    </row>
    <row r="130" customFormat="false" ht="15" hidden="false" customHeight="false" outlineLevel="0" collapsed="false">
      <c r="A130" s="12" t="s">
        <v>241</v>
      </c>
      <c r="B130" s="12" t="s">
        <v>264</v>
      </c>
      <c r="C130" s="12" t="s">
        <v>270</v>
      </c>
      <c r="D130" s="12" t="s">
        <v>266</v>
      </c>
      <c r="E130" s="12" t="s">
        <v>450</v>
      </c>
      <c r="F130" s="12" t="s">
        <v>268</v>
      </c>
    </row>
    <row r="131" customFormat="false" ht="15" hidden="false" customHeight="false" outlineLevel="0" collapsed="false">
      <c r="A131" s="12" t="s">
        <v>241</v>
      </c>
      <c r="B131" s="12" t="s">
        <v>264</v>
      </c>
      <c r="C131" s="12" t="s">
        <v>271</v>
      </c>
      <c r="D131" s="12" t="s">
        <v>272</v>
      </c>
      <c r="E131" s="12" t="s">
        <v>451</v>
      </c>
      <c r="F131" s="12" t="s">
        <v>268</v>
      </c>
    </row>
    <row r="132" customFormat="false" ht="15" hidden="false" customHeight="false" outlineLevel="0" collapsed="false">
      <c r="A132" s="12" t="s">
        <v>241</v>
      </c>
      <c r="B132" s="12" t="s">
        <v>264</v>
      </c>
      <c r="C132" s="12" t="s">
        <v>274</v>
      </c>
      <c r="D132" s="12" t="s">
        <v>275</v>
      </c>
      <c r="E132" s="12" t="s">
        <v>452</v>
      </c>
      <c r="F132" s="12" t="s">
        <v>268</v>
      </c>
    </row>
    <row r="133" customFormat="false" ht="15" hidden="false" customHeight="false" outlineLevel="0" collapsed="false">
      <c r="A133" s="12" t="s">
        <v>241</v>
      </c>
      <c r="B133" s="12" t="s">
        <v>277</v>
      </c>
      <c r="C133" s="12" t="s">
        <v>278</v>
      </c>
      <c r="D133" s="12" t="s">
        <v>279</v>
      </c>
      <c r="E133" s="12" t="s">
        <v>453</v>
      </c>
      <c r="F133" s="12" t="s">
        <v>71</v>
      </c>
    </row>
    <row r="134" customFormat="false" ht="15" hidden="false" customHeight="false" outlineLevel="0" collapsed="false">
      <c r="A134" s="12" t="s">
        <v>241</v>
      </c>
      <c r="B134" s="12" t="s">
        <v>277</v>
      </c>
      <c r="C134" s="12" t="s">
        <v>281</v>
      </c>
      <c r="D134" s="12" t="s">
        <v>454</v>
      </c>
      <c r="E134" s="12" t="s">
        <v>455</v>
      </c>
      <c r="F134" s="12" t="s">
        <v>333</v>
      </c>
    </row>
    <row r="135" customFormat="false" ht="15" hidden="false" customHeight="false" outlineLevel="0" collapsed="false">
      <c r="A135" s="12" t="s">
        <v>241</v>
      </c>
      <c r="B135" s="12" t="s">
        <v>277</v>
      </c>
      <c r="C135" s="12" t="s">
        <v>285</v>
      </c>
      <c r="D135" s="12" t="s">
        <v>454</v>
      </c>
      <c r="E135" s="12" t="s">
        <v>455</v>
      </c>
      <c r="F135" s="12" t="s">
        <v>333</v>
      </c>
    </row>
    <row r="136" customFormat="false" ht="15" hidden="false" customHeight="false" outlineLevel="0" collapsed="false">
      <c r="A136" s="12" t="s">
        <v>241</v>
      </c>
      <c r="B136" s="12" t="s">
        <v>277</v>
      </c>
      <c r="C136" s="12" t="s">
        <v>286</v>
      </c>
      <c r="D136" s="12" t="s">
        <v>456</v>
      </c>
      <c r="E136" s="12" t="s">
        <v>457</v>
      </c>
      <c r="F136" s="12" t="s">
        <v>268</v>
      </c>
    </row>
    <row r="137" customFormat="false" ht="15" hidden="false" customHeight="false" outlineLevel="0" collapsed="false">
      <c r="A137" s="12" t="s">
        <v>241</v>
      </c>
      <c r="B137" s="12" t="s">
        <v>277</v>
      </c>
      <c r="C137" s="12" t="s">
        <v>289</v>
      </c>
      <c r="D137" s="12" t="s">
        <v>458</v>
      </c>
      <c r="E137" s="12" t="s">
        <v>459</v>
      </c>
      <c r="F137" s="12" t="s">
        <v>333</v>
      </c>
    </row>
    <row r="138" customFormat="false" ht="15" hidden="false" customHeight="false" outlineLevel="0" collapsed="false">
      <c r="A138" s="12" t="s">
        <v>241</v>
      </c>
      <c r="B138" s="12" t="s">
        <v>292</v>
      </c>
      <c r="C138" s="12" t="s">
        <v>293</v>
      </c>
      <c r="D138" s="12" t="s">
        <v>294</v>
      </c>
      <c r="E138" s="12" t="s">
        <v>460</v>
      </c>
      <c r="F138" s="12" t="s">
        <v>268</v>
      </c>
    </row>
    <row r="139" customFormat="false" ht="15" hidden="false" customHeight="false" outlineLevel="0" collapsed="false">
      <c r="A139" s="12" t="s">
        <v>241</v>
      </c>
      <c r="B139" s="12" t="s">
        <v>292</v>
      </c>
      <c r="C139" s="12" t="s">
        <v>296</v>
      </c>
      <c r="D139" s="12" t="s">
        <v>461</v>
      </c>
      <c r="E139" s="12" t="s">
        <v>462</v>
      </c>
      <c r="F139" s="12" t="s">
        <v>268</v>
      </c>
    </row>
    <row r="140" customFormat="false" ht="15" hidden="false" customHeight="false" outlineLevel="0" collapsed="false">
      <c r="A140" s="12" t="s">
        <v>241</v>
      </c>
      <c r="B140" s="12" t="s">
        <v>292</v>
      </c>
      <c r="C140" s="12" t="s">
        <v>300</v>
      </c>
      <c r="D140" s="12" t="s">
        <v>301</v>
      </c>
      <c r="E140" s="12" t="s">
        <v>463</v>
      </c>
      <c r="F140" s="12" t="s">
        <v>376</v>
      </c>
    </row>
    <row r="141" customFormat="false" ht="15" hidden="false" customHeight="false" outlineLevel="0" collapsed="false">
      <c r="A141" s="12" t="s">
        <v>241</v>
      </c>
      <c r="B141" s="12" t="s">
        <v>292</v>
      </c>
      <c r="C141" s="12" t="s">
        <v>303</v>
      </c>
      <c r="D141" s="12" t="s">
        <v>304</v>
      </c>
      <c r="E141" s="12" t="s">
        <v>464</v>
      </c>
      <c r="F141" s="12" t="s">
        <v>326</v>
      </c>
    </row>
  </sheetData>
  <autoFilter ref="A1:F14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2026-09-06T16:16:56Z</dcterms:created>
  <dc:creator>openpyxl</dc:creator>
  <dc:description/>
  <dc:language>en-US</dc:language>
  <cp:lastModifiedBy/>
  <dcterms:modified xsi:type="dcterms:W3CDTF">2026-09-06T16:16:56Z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